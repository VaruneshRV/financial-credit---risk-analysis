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RUNESH RV\Downloads\"/>
    </mc:Choice>
  </mc:AlternateContent>
  <xr:revisionPtr revIDLastSave="0" documentId="13_ncr:1_{3E2043F1-19BB-4AD5-820B-85D305B0ABA1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P. Input" sheetId="1" r:id="rId1"/>
    <sheet name="I. Profit_Loss" sheetId="2" r:id="rId2"/>
    <sheet name="I. Balance_Sheet" sheetId="3" r:id="rId3"/>
    <sheet name="I. Cashflow" sheetId="4" r:id="rId4"/>
    <sheet name="O. Report" sheetId="5" r:id="rId5"/>
  </sheets>
  <definedNames>
    <definedName name="Auditor">'P. Input'!#REF!</definedName>
    <definedName name="CompanyName">'P. Input'!$C$2</definedName>
    <definedName name="Currency">'P. Input'!$C$6</definedName>
    <definedName name="DealStartDate">#REF!</definedName>
    <definedName name="EX_Yr1">'P. Input'!$C$12</definedName>
    <definedName name="FinancialYearEnd">'P. Input'!$C$3</definedName>
    <definedName name="FX_Yr1">'P. Input'!$C$12</definedName>
    <definedName name="FX_Yr2">'P. Input'!$D$12</definedName>
    <definedName name="FX_Yr3">#REF!</definedName>
    <definedName name="FX_Yr4">#REF!</definedName>
    <definedName name="FX_Yr5">#REF!</definedName>
    <definedName name="FX_Yr6">#REF!</definedName>
    <definedName name="FX_Yr7">#REF!</definedName>
    <definedName name="FX_Yr8">#REF!</definedName>
    <definedName name="Input_Multiplier">'P. Input'!$C$7</definedName>
    <definedName name="NumPriorAnnualReportsRecorded">'P. Input'!$C$5</definedName>
    <definedName name="PreviousFinancialYearEnd">'P. Input'!$C$4</definedName>
    <definedName name="Reporting_Multiplier">'P. Input'!$C$9</definedName>
    <definedName name="Units_Multiplier">'P. Input'!$G$9</definedName>
  </definedNames>
  <calcPr calcId="191029"/>
  <extLst>
    <ext uri="GoogleSheetsCustomDataVersion1">
      <go:sheetsCustomData xmlns:go="http://customooxmlschemas.google.com/" r:id="rId9" roundtripDataSignature="AMtx7mjSH1HTO30aQfbDop4xJ7YKjt7cQQ=="/>
    </ext>
  </extLst>
</workbook>
</file>

<file path=xl/calcChain.xml><?xml version="1.0" encoding="utf-8"?>
<calcChain xmlns="http://schemas.openxmlformats.org/spreadsheetml/2006/main">
  <c r="C13" i="4" l="1"/>
  <c r="C28" i="5" l="1"/>
  <c r="B28" i="5"/>
  <c r="C23" i="5"/>
  <c r="B23" i="5"/>
  <c r="B4" i="5"/>
  <c r="B3" i="5" s="1"/>
  <c r="A1" i="5"/>
  <c r="B66" i="4"/>
  <c r="C51" i="4"/>
  <c r="B51" i="4"/>
  <c r="C36" i="4"/>
  <c r="B36" i="4"/>
  <c r="B4" i="4"/>
  <c r="A1" i="4"/>
  <c r="C68" i="3"/>
  <c r="C67" i="3"/>
  <c r="C66" i="3"/>
  <c r="C65" i="3"/>
  <c r="C57" i="3"/>
  <c r="B57" i="3"/>
  <c r="B46" i="3"/>
  <c r="B59" i="3" s="1"/>
  <c r="C44" i="3"/>
  <c r="C46" i="3" s="1"/>
  <c r="B44" i="3"/>
  <c r="C38" i="3"/>
  <c r="B38" i="3"/>
  <c r="B26" i="3"/>
  <c r="C24" i="3"/>
  <c r="C30" i="5" s="1"/>
  <c r="B24" i="3"/>
  <c r="B30" i="5" s="1"/>
  <c r="C16" i="3"/>
  <c r="B16" i="3"/>
  <c r="B4" i="3"/>
  <c r="B3" i="3" s="1"/>
  <c r="A1" i="3"/>
  <c r="C25" i="2"/>
  <c r="B25" i="2"/>
  <c r="C8" i="2"/>
  <c r="C12" i="2" s="1"/>
  <c r="B8" i="2"/>
  <c r="B12" i="2" s="1"/>
  <c r="C7" i="2"/>
  <c r="B7" i="2"/>
  <c r="B4" i="2"/>
  <c r="C4" i="2" s="1"/>
  <c r="C3" i="2" s="1"/>
  <c r="A1" i="2"/>
  <c r="B12" i="1"/>
  <c r="C11" i="1"/>
  <c r="D11" i="1" s="1"/>
  <c r="G9" i="1"/>
  <c r="C6" i="5" s="1"/>
  <c r="E9" i="1"/>
  <c r="D9" i="1"/>
  <c r="A4" i="5" s="1"/>
  <c r="D7" i="1"/>
  <c r="A4" i="4" s="1"/>
  <c r="B14" i="5" l="1"/>
  <c r="B3" i="2"/>
  <c r="A4" i="2"/>
  <c r="B3" i="4"/>
  <c r="A4" i="3"/>
  <c r="B61" i="3"/>
  <c r="C16" i="2"/>
  <c r="C24" i="2"/>
  <c r="C28" i="2" s="1"/>
  <c r="C17" i="5"/>
  <c r="C59" i="3"/>
  <c r="B24" i="2"/>
  <c r="B28" i="2" s="1"/>
  <c r="B16" i="2"/>
  <c r="B15" i="5"/>
  <c r="C4" i="4"/>
  <c r="C15" i="5"/>
  <c r="C4" i="3"/>
  <c r="C3" i="3" s="1"/>
  <c r="C26" i="3"/>
  <c r="B8" i="5"/>
  <c r="B13" i="5"/>
  <c r="B16" i="5"/>
  <c r="C4" i="5"/>
  <c r="C3" i="5" s="1"/>
  <c r="C8" i="5"/>
  <c r="C16" i="5"/>
  <c r="B6" i="5"/>
  <c r="B17" i="5"/>
  <c r="B19" i="5" l="1"/>
  <c r="B32" i="5"/>
  <c r="B31" i="5"/>
  <c r="C32" i="5"/>
  <c r="C31" i="5"/>
  <c r="C3" i="4"/>
  <c r="C14" i="5"/>
  <c r="C19" i="5" s="1"/>
  <c r="C13" i="5"/>
  <c r="C18" i="5" s="1"/>
  <c r="B9" i="5"/>
  <c r="B18" i="2"/>
  <c r="B29" i="2"/>
  <c r="B7" i="5"/>
  <c r="C61" i="3"/>
  <c r="C7" i="5"/>
  <c r="C29" i="2"/>
  <c r="B18" i="5"/>
  <c r="C9" i="5"/>
  <c r="C18" i="2"/>
  <c r="E31" i="5" l="1"/>
  <c r="C27" i="5"/>
  <c r="C29" i="5"/>
  <c r="B20" i="2"/>
  <c r="B6" i="4"/>
  <c r="B25" i="4" s="1"/>
  <c r="B10" i="5"/>
  <c r="C20" i="2"/>
  <c r="C6" i="4"/>
  <c r="C25" i="4" s="1"/>
  <c r="C10" i="5"/>
  <c r="B27" i="5"/>
  <c r="B29" i="5"/>
  <c r="B22" i="5" l="1"/>
  <c r="B54" i="4"/>
  <c r="B56" i="4" s="1"/>
  <c r="C55" i="4" s="1"/>
  <c r="B65" i="4"/>
  <c r="B67" i="4" s="1"/>
  <c r="C22" i="5"/>
  <c r="C54" i="4"/>
  <c r="C65" i="4"/>
  <c r="C56" i="4" l="1"/>
  <c r="C66" i="4"/>
  <c r="C67" i="4" s="1"/>
  <c r="C33" i="5"/>
  <c r="C24" i="5"/>
  <c r="B33" i="5"/>
  <c r="B24" i="5"/>
</calcChain>
</file>

<file path=xl/sharedStrings.xml><?xml version="1.0" encoding="utf-8"?>
<sst xmlns="http://schemas.openxmlformats.org/spreadsheetml/2006/main" count="205" uniqueCount="194">
  <si>
    <t>LEGEND</t>
  </si>
  <si>
    <t>Company Name</t>
  </si>
  <si>
    <t>Parameters</t>
  </si>
  <si>
    <t>Financial Year End</t>
  </si>
  <si>
    <t>User Inputs</t>
  </si>
  <si>
    <t>Date Of Previous Financial Year End</t>
  </si>
  <si>
    <t>Output</t>
  </si>
  <si>
    <t># of Prior Year Annual Reports Recorded</t>
  </si>
  <si>
    <t>Input Currency</t>
  </si>
  <si>
    <t>$</t>
  </si>
  <si>
    <t>Ones</t>
  </si>
  <si>
    <t>Input Multiplier</t>
  </si>
  <si>
    <t>Millions</t>
  </si>
  <si>
    <t>Thousands</t>
  </si>
  <si>
    <t>Units Multiplier</t>
  </si>
  <si>
    <t>Exchange Rate</t>
  </si>
  <si>
    <t>Income Statement</t>
  </si>
  <si>
    <t>Revenue</t>
  </si>
  <si>
    <t>Cost of sales</t>
  </si>
  <si>
    <t>Efficiency Ratio</t>
  </si>
  <si>
    <t>Gross Profit</t>
  </si>
  <si>
    <t>Research and development</t>
  </si>
  <si>
    <t>Selling, general and administrative</t>
  </si>
  <si>
    <t>Restructuring and other</t>
  </si>
  <si>
    <t>Income (loss) from operations</t>
  </si>
  <si>
    <t>Interest income</t>
  </si>
  <si>
    <t>Interest expense</t>
  </si>
  <si>
    <t>Other income (expense), net</t>
  </si>
  <si>
    <t>Profit Before Tax (PBT)</t>
  </si>
  <si>
    <t>Tax</t>
  </si>
  <si>
    <t>Profit After Tax (PAT)</t>
  </si>
  <si>
    <t>Net income attributable to noncontrolling interests and redeemable noncontrolling interests in subsidiaries</t>
  </si>
  <si>
    <t>Total Comprehensive (loss)/ income</t>
  </si>
  <si>
    <t>EBITDA computation</t>
  </si>
  <si>
    <t>Operating profit</t>
  </si>
  <si>
    <t>Depreciation &amp; Amortisation</t>
  </si>
  <si>
    <t xml:space="preserve">Depreciation </t>
  </si>
  <si>
    <t>Amortisation</t>
  </si>
  <si>
    <t>EBITDA</t>
  </si>
  <si>
    <t>EBITDA Margin</t>
  </si>
  <si>
    <t>Balance Sheet</t>
  </si>
  <si>
    <t>Assets</t>
  </si>
  <si>
    <t>Non-Current Assets</t>
  </si>
  <si>
    <t>Operating lease vehicles, net</t>
  </si>
  <si>
    <t>Solar energy systems, net</t>
  </si>
  <si>
    <t>Property, plant and equipment, net</t>
  </si>
  <si>
    <t>Operating lease right-of-use assets</t>
  </si>
  <si>
    <t>Digital assets, net</t>
  </si>
  <si>
    <t>Intangible assets, net</t>
  </si>
  <si>
    <t>Goodwill</t>
  </si>
  <si>
    <t>Other non-current assets</t>
  </si>
  <si>
    <t>Total Non-Current Assets</t>
  </si>
  <si>
    <t>Current Assets</t>
  </si>
  <si>
    <t>Cash and cash equivalents</t>
  </si>
  <si>
    <t>Short-term marketable securities</t>
  </si>
  <si>
    <t>Accounts receivable, net</t>
  </si>
  <si>
    <t>Inventories</t>
  </si>
  <si>
    <t>Prepaid expenses and other current assets</t>
  </si>
  <si>
    <t>Total Current Assets</t>
  </si>
  <si>
    <t>Total Assets</t>
  </si>
  <si>
    <t>Liabilities &amp; Equity</t>
  </si>
  <si>
    <t>Liabilities</t>
  </si>
  <si>
    <t>Current Liabilities</t>
  </si>
  <si>
    <t>Accounts payable</t>
  </si>
  <si>
    <t>Accrued liabilities and other</t>
  </si>
  <si>
    <t>Deferred revenue</t>
  </si>
  <si>
    <t>Customer deposits</t>
  </si>
  <si>
    <t>Current portion of debt and finance leases</t>
  </si>
  <si>
    <t>Total Current Liabilities</t>
  </si>
  <si>
    <t>Non-Current Liabilities</t>
  </si>
  <si>
    <t>Debt and finance leases, net of current portion</t>
  </si>
  <si>
    <t>Deferred revenue, net of current portion</t>
  </si>
  <si>
    <t>Other long-term liabilities</t>
  </si>
  <si>
    <t>Total Non-Current Liabilities</t>
  </si>
  <si>
    <t>Total Liabilities</t>
  </si>
  <si>
    <t>Redeemable noncontrolling interests in subsidiaries</t>
  </si>
  <si>
    <t>Convertible senior notes (Note 11)</t>
  </si>
  <si>
    <t>Equity</t>
  </si>
  <si>
    <t>Common stock</t>
  </si>
  <si>
    <t>Additional paid-in capital</t>
  </si>
  <si>
    <t>Accumulated other comprehensive income</t>
  </si>
  <si>
    <t>Retained earnings (accumulated deficit)</t>
  </si>
  <si>
    <t>Noncontrolling interests in subsidiaries</t>
  </si>
  <si>
    <t>Total Equity</t>
  </si>
  <si>
    <t>Total Liabilities &amp; Equity</t>
  </si>
  <si>
    <t>Check</t>
  </si>
  <si>
    <t>Net Working Capital</t>
  </si>
  <si>
    <t>Change in Inventory</t>
  </si>
  <si>
    <t>Change in Receivables</t>
  </si>
  <si>
    <t>Change in Payables</t>
  </si>
  <si>
    <t>Change in NWC</t>
  </si>
  <si>
    <t>Cash Flow Statement</t>
  </si>
  <si>
    <t>Cash Flows from Operating Activities</t>
  </si>
  <si>
    <t>Net income (loss)</t>
  </si>
  <si>
    <t>Adjustments to reconcile net income (loss) to net cash provided by operating activities:</t>
  </si>
  <si>
    <t>Depreciation, amortization and impairment</t>
  </si>
  <si>
    <t>Stock-based compensation</t>
  </si>
  <si>
    <t>Inventory and purchase commitments write-downs</t>
  </si>
  <si>
    <t>Foreign currency transaction net unrealized (gain) loss</t>
  </si>
  <si>
    <t>Non-cash interest and other operating activities</t>
  </si>
  <si>
    <t>Digital assets gain, net</t>
  </si>
  <si>
    <t>Operating cash flow related to repayment of discounted convertible senior notes</t>
  </si>
  <si>
    <t>Changes in operating assets and liabilities:</t>
  </si>
  <si>
    <t>Accounts receivable</t>
  </si>
  <si>
    <t>Inventory</t>
  </si>
  <si>
    <t>Operating lease vehicles</t>
  </si>
  <si>
    <t>Accounts payable and accrued liabilities</t>
  </si>
  <si>
    <t>Net cash provided by operating activities</t>
  </si>
  <si>
    <t>Cash Flows from Investing Activities</t>
  </si>
  <si>
    <t>Purchases of property and equipment excluding finance leases, net of sales</t>
  </si>
  <si>
    <t>Purchases of solar energy systems, net of sales</t>
  </si>
  <si>
    <t>Purchases of digital assets</t>
  </si>
  <si>
    <t>Proceeds from sales of digital assets</t>
  </si>
  <si>
    <t>Purchases of marketable securities</t>
  </si>
  <si>
    <t>Receipt of government grants</t>
  </si>
  <si>
    <t>Purchase of intangible assets</t>
  </si>
  <si>
    <t>Business combinations, net of cash acquired</t>
  </si>
  <si>
    <t>Net cash used in investing activities</t>
  </si>
  <si>
    <t>Cash Flows from Financing Activities</t>
  </si>
  <si>
    <t>Proceeds from issuances of common stock in public offerings, net of issuance costs</t>
  </si>
  <si>
    <t>Proceeds from issuances of convertible and other debt</t>
  </si>
  <si>
    <t>Repayments of convertible and other debt</t>
  </si>
  <si>
    <t>Collateralized lease repayments</t>
  </si>
  <si>
    <t>Proceeds from exercises of stock options and other stock issuances</t>
  </si>
  <si>
    <t>Principal payments on finance leases</t>
  </si>
  <si>
    <t>Debt issuance costs</t>
  </si>
  <si>
    <t>Purchase of convertible note hedges</t>
  </si>
  <si>
    <t>Proceeds from issuance of warrants</t>
  </si>
  <si>
    <t>Proceeds from investments by noncontrolling interests in subsidiaries</t>
  </si>
  <si>
    <t>Distributions paid to noncontrolling interests in subsidiaries</t>
  </si>
  <si>
    <t>Payments for buy-outs of noncontrolling interests in subsidiaries</t>
  </si>
  <si>
    <t>Net cash (used in) provided by financing activities</t>
  </si>
  <si>
    <t>Effect of exchange rate changes on cash and cash equivalents and restricted cash</t>
  </si>
  <si>
    <t>Net (decrease) increase in cash and cash equivalents and restricted cash</t>
  </si>
  <si>
    <t>Cash and cash equivalents and restricted cash, beginning of period</t>
  </si>
  <si>
    <t>Cash and cash equivalents and restricted cash, end of period</t>
  </si>
  <si>
    <t>Supplemental Non-Cash Investing and Financing Activities</t>
  </si>
  <si>
    <t>Equity issued in connection with business combination</t>
  </si>
  <si>
    <t>Acquisitions of property and equipment included in liabilities</t>
  </si>
  <si>
    <t>Supplemental Disclosures</t>
  </si>
  <si>
    <t>Cash paid during the period for interest, net of amounts capitalized</t>
  </si>
  <si>
    <t>Cash paid during the period for taxes, net of refunds</t>
  </si>
  <si>
    <t>Increase / (decrease) in cash and cash equivalents</t>
  </si>
  <si>
    <t>Cash and cash equivalents at the beginning of the year</t>
  </si>
  <si>
    <t>Cash and cash equivalents at the end of the year</t>
  </si>
  <si>
    <t>Report</t>
  </si>
  <si>
    <t>Comments</t>
  </si>
  <si>
    <t>Financial Performance</t>
  </si>
  <si>
    <t xml:space="preserve"> </t>
  </si>
  <si>
    <t>Total Revenue</t>
  </si>
  <si>
    <t>Significant increase in EBITDA mainly driven by improvement in Gross Margins and increase in Revenue.</t>
  </si>
  <si>
    <t>Net Interest Expense</t>
  </si>
  <si>
    <t>Net Interest Expense have almost halved due to a drop in interest expense and an increase in interest income.</t>
  </si>
  <si>
    <t>Net Profit/(Loss) Before Tax</t>
  </si>
  <si>
    <t>Net Profit/(Loss) After Tax</t>
  </si>
  <si>
    <t>Similar % increase to Net Profit Before Tax.</t>
  </si>
  <si>
    <t>Financial Position</t>
  </si>
  <si>
    <t>Total Assets (Including Intangibles)</t>
  </si>
  <si>
    <t>Total Tangible Assets (TTA)</t>
  </si>
  <si>
    <t>Similar to Total Asset, a slight increase in Total Tangible Assets</t>
  </si>
  <si>
    <t xml:space="preserve">Inventories </t>
  </si>
  <si>
    <t>A slight increase in total liabilities</t>
  </si>
  <si>
    <t>Net Worth (inc intangibles) (NW)</t>
  </si>
  <si>
    <t>Tangible Net Worth (TNW)</t>
  </si>
  <si>
    <t>Consistent with the movement in Net Worth, Tangible Net Worth has also increased by c.34% over the year.</t>
  </si>
  <si>
    <t>Cash Flows</t>
  </si>
  <si>
    <t>Net Cash in/(out)flow from operating activities</t>
  </si>
  <si>
    <t>Positive cash flow generated from operating activities has almost doubled over the year.</t>
  </si>
  <si>
    <t>Capital Expenditure</t>
  </si>
  <si>
    <t>Free Cash Flow</t>
  </si>
  <si>
    <t>Free Cash Flow has increased due to increase in net cashflow from operating activities which was partially offset by increase in Capital Expenditure.</t>
  </si>
  <si>
    <t xml:space="preserve">Ratios </t>
  </si>
  <si>
    <t xml:space="preserve">EBITDA Net Interest Cover (x) </t>
  </si>
  <si>
    <t>Significant improvement as the EBITDA increased while Net Interest Payments dropped. The higher this number, the better it is for the business.</t>
  </si>
  <si>
    <t>Current Asset Ratio has slightly dropped, indicating a drop in current assets relative to current liabilities.</t>
  </si>
  <si>
    <t>Leverage Metric</t>
  </si>
  <si>
    <t>Net Leverage</t>
  </si>
  <si>
    <t>Cash flow to capital expenditures (CF/CapEX)</t>
  </si>
  <si>
    <t>CF/CapEX has changed by 0.4 due to increased capital expenditure relative to cashflows generated from operating activities.</t>
  </si>
  <si>
    <t>Operating Margin</t>
  </si>
  <si>
    <t>Similarly, Operating Margin has doubled indicating improvements in efficiency.</t>
  </si>
  <si>
    <t>Current Ratio i.e. Current Assets / Current Liabilities (%)</t>
  </si>
  <si>
    <t>Green Solutions Manufacturing Ltd.</t>
  </si>
  <si>
    <t>£</t>
  </si>
  <si>
    <t>Total Revenue increased ~71% on YoY basis, primarily driven by surge in demand.</t>
  </si>
  <si>
    <t xml:space="preserve">In line with topline growth and cost controls, NPBT and NPAT grew materially. </t>
  </si>
  <si>
    <t>A sizable 40% increase in inventory during 2023 is consistent with the increase in sales during the year.</t>
  </si>
  <si>
    <t>Net worth increased on the back of continued profit accumulation. No signs of capital leakages.</t>
  </si>
  <si>
    <t>Capital Expenditure has increased since 2022, mainly driven by purchase of property and equipment.</t>
  </si>
  <si>
    <t>EBITDA Margin almost doubled in 2023. Indicating improved profitability.</t>
  </si>
  <si>
    <t>Leverage Metric has decreased by c.6.6 (i.e., 84%), mainly due to a significant increase in EBITDA and a limited increase in liabilities.</t>
  </si>
  <si>
    <t>Net Leverage has increased by c.3.2 (i.e., 62%), mainly driven by an improvement in Leverage Metric but partially offset by a decrease in cash balance over the year.</t>
  </si>
  <si>
    <t xml:space="preserve">Cash reserves reduced YoY primarily to support CAPEX investments &amp; debt repayments. </t>
  </si>
  <si>
    <t>Balance sheet expanded ~19% YoY basis, and is primarily dominated by increase in property, plant, and equipment (~50%) which is in line with manufacturer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</si>
</sst>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[$-409]dd\-mmm\-yy"/>
    <numFmt numFmtId="166" formatCode="_-* #,##0_-;\-* #,##0_-;_-* &quot;-&quot;??_-;_-@"/>
    <numFmt numFmtId="167" formatCode="&quot;Auditor:&quot;\ @"/>
    <numFmt numFmtId="168" formatCode="_(* #,##0_);_(* \(#,##0\);_(* &quot;-&quot;??_);_(@_)"/>
    <numFmt numFmtId="169" formatCode="_-* #,##0.00\ _€_-;\-* #,##0.00\ _€_-;_-* &quot;-&quot;??\ _€_-;_-@"/>
    <numFmt numFmtId="170" formatCode="0.0%"/>
    <numFmt numFmtId="171" formatCode="_(* #,##0.00_);_(* \(#,##0.00\);_(* &quot;-&quot;??_);_(@_)"/>
    <numFmt numFmtId="172" formatCode="_-* #,##0.00_-;\-* #,##0.00_-;_-* &quot;-&quot;??_-;_-@"/>
  </numFmts>
  <fonts count="13" x14ac:knownFonts="1">
    <font>
      <sz val="11"/>
      <color theme="1"/>
      <name val="Calibri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9"/>
      <color theme="0"/>
      <name val="Calibri"/>
      <family val="2"/>
    </font>
    <font>
      <b/>
      <sz val="12"/>
      <color rgb="FF1E4E79"/>
      <name val="Calibri"/>
      <family val="2"/>
    </font>
    <font>
      <b/>
      <i/>
      <sz val="9"/>
      <color rgb="FF1E4E79"/>
      <name val="Calibri"/>
      <family val="2"/>
    </font>
    <font>
      <i/>
      <sz val="9"/>
      <color rgb="FF7F7F7F"/>
      <name val="Calibri"/>
      <family val="2"/>
    </font>
    <font>
      <i/>
      <sz val="9"/>
      <color rgb="FFBFBFBF"/>
      <name val="Calibri"/>
      <family val="2"/>
    </font>
    <font>
      <b/>
      <sz val="9"/>
      <color rgb="FF006100"/>
      <name val="Calibri"/>
      <family val="2"/>
    </font>
    <font>
      <sz val="9"/>
      <color theme="1"/>
      <name val="Calibri"/>
      <family val="2"/>
    </font>
    <font>
      <sz val="9"/>
      <color rgb="FFFF0000"/>
      <name val="Calibri"/>
      <family val="2"/>
    </font>
    <font>
      <b/>
      <sz val="9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9C0006"/>
        <bgColor rgb="FF9C0006"/>
      </patternFill>
    </fill>
    <fill>
      <patternFill patternType="solid">
        <fgColor rgb="FF2F5496"/>
        <bgColor rgb="FF2F5496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C6EFCE"/>
        <bgColor rgb="FFC6EFCE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165" fontId="1" fillId="2" borderId="1" xfId="0" applyNumberFormat="1" applyFont="1" applyFill="1" applyBorder="1" applyAlignment="1">
      <alignment horizontal="left"/>
    </xf>
    <xf numFmtId="0" fontId="1" fillId="3" borderId="1" xfId="0" applyFont="1" applyFill="1" applyBorder="1"/>
    <xf numFmtId="0" fontId="1" fillId="4" borderId="1" xfId="0" applyFont="1" applyFill="1" applyBorder="1"/>
    <xf numFmtId="0" fontId="3" fillId="0" borderId="0" xfId="0" applyFont="1"/>
    <xf numFmtId="166" fontId="3" fillId="0" borderId="0" xfId="0" applyNumberFormat="1" applyFont="1"/>
    <xf numFmtId="0" fontId="1" fillId="2" borderId="1" xfId="0" quotePrefix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right"/>
    </xf>
    <xf numFmtId="0" fontId="6" fillId="0" borderId="0" xfId="0" applyFont="1"/>
    <xf numFmtId="167" fontId="7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right"/>
    </xf>
    <xf numFmtId="0" fontId="4" fillId="5" borderId="2" xfId="0" applyFont="1" applyFill="1" applyBorder="1"/>
    <xf numFmtId="165" fontId="4" fillId="5" borderId="2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168" fontId="1" fillId="3" borderId="4" xfId="0" applyNumberFormat="1" applyFont="1" applyFill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7" fillId="0" borderId="5" xfId="0" applyFont="1" applyBorder="1" applyAlignment="1">
      <alignment horizontal="right"/>
    </xf>
    <xf numFmtId="9" fontId="7" fillId="0" borderId="5" xfId="0" applyNumberFormat="1" applyFont="1" applyBorder="1" applyAlignment="1">
      <alignment horizontal="right"/>
    </xf>
    <xf numFmtId="0" fontId="2" fillId="6" borderId="6" xfId="0" applyFont="1" applyFill="1" applyBorder="1"/>
    <xf numFmtId="168" fontId="2" fillId="6" borderId="6" xfId="0" applyNumberFormat="1" applyFont="1" applyFill="1" applyBorder="1" applyAlignment="1">
      <alignment horizontal="right"/>
    </xf>
    <xf numFmtId="0" fontId="1" fillId="0" borderId="3" xfId="0" applyFont="1" applyBorder="1" applyAlignment="1">
      <alignment horizontal="left"/>
    </xf>
    <xf numFmtId="168" fontId="1" fillId="3" borderId="7" xfId="0" applyNumberFormat="1" applyFont="1" applyFill="1" applyBorder="1" applyAlignment="1">
      <alignment horizontal="right"/>
    </xf>
    <xf numFmtId="0" fontId="2" fillId="7" borderId="6" xfId="0" applyFont="1" applyFill="1" applyBorder="1"/>
    <xf numFmtId="0" fontId="1" fillId="0" borderId="0" xfId="0" applyFont="1" applyAlignment="1">
      <alignment horizontal="left" wrapText="1"/>
    </xf>
    <xf numFmtId="0" fontId="4" fillId="8" borderId="6" xfId="0" applyFont="1" applyFill="1" applyBorder="1"/>
    <xf numFmtId="168" fontId="4" fillId="8" borderId="6" xfId="0" applyNumberFormat="1" applyFont="1" applyFill="1" applyBorder="1" applyAlignment="1">
      <alignment horizontal="right"/>
    </xf>
    <xf numFmtId="169" fontId="1" fillId="0" borderId="0" xfId="0" applyNumberFormat="1" applyFont="1" applyAlignment="1">
      <alignment horizontal="right"/>
    </xf>
    <xf numFmtId="0" fontId="2" fillId="0" borderId="8" xfId="0" applyFont="1" applyBorder="1"/>
    <xf numFmtId="169" fontId="2" fillId="0" borderId="8" xfId="0" applyNumberFormat="1" applyFont="1" applyBorder="1" applyAlignment="1">
      <alignment horizontal="right"/>
    </xf>
    <xf numFmtId="0" fontId="1" fillId="0" borderId="3" xfId="0" applyFont="1" applyBorder="1"/>
    <xf numFmtId="168" fontId="1" fillId="0" borderId="3" xfId="0" applyNumberFormat="1" applyFont="1" applyBorder="1" applyAlignment="1">
      <alignment horizontal="right"/>
    </xf>
    <xf numFmtId="0" fontId="2" fillId="0" borderId="5" xfId="0" applyFont="1" applyBorder="1"/>
    <xf numFmtId="168" fontId="2" fillId="0" borderId="5" xfId="0" applyNumberFormat="1" applyFont="1" applyBorder="1" applyAlignment="1">
      <alignment horizontal="right"/>
    </xf>
    <xf numFmtId="168" fontId="2" fillId="7" borderId="6" xfId="0" applyNumberFormat="1" applyFont="1" applyFill="1" applyBorder="1" applyAlignment="1">
      <alignment horizontal="right"/>
    </xf>
    <xf numFmtId="0" fontId="7" fillId="0" borderId="9" xfId="0" applyFont="1" applyBorder="1" applyAlignment="1">
      <alignment horizontal="right"/>
    </xf>
    <xf numFmtId="9" fontId="7" fillId="0" borderId="9" xfId="0" applyNumberFormat="1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3" xfId="0" applyFont="1" applyBorder="1"/>
    <xf numFmtId="169" fontId="2" fillId="0" borderId="3" xfId="0" applyNumberFormat="1" applyFont="1" applyBorder="1" applyAlignment="1">
      <alignment horizontal="right"/>
    </xf>
    <xf numFmtId="0" fontId="2" fillId="9" borderId="6" xfId="0" applyFont="1" applyFill="1" applyBorder="1"/>
    <xf numFmtId="168" fontId="2" fillId="9" borderId="6" xfId="0" applyNumberFormat="1" applyFont="1" applyFill="1" applyBorder="1" applyAlignment="1">
      <alignment horizontal="right"/>
    </xf>
    <xf numFmtId="0" fontId="1" fillId="0" borderId="9" xfId="0" applyFont="1" applyBorder="1" applyAlignment="1">
      <alignment horizontal="left"/>
    </xf>
    <xf numFmtId="0" fontId="9" fillId="10" borderId="10" xfId="0" applyFont="1" applyFill="1" applyBorder="1"/>
    <xf numFmtId="168" fontId="2" fillId="0" borderId="11" xfId="0" applyNumberFormat="1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168" fontId="1" fillId="0" borderId="5" xfId="0" applyNumberFormat="1" applyFont="1" applyBorder="1" applyAlignment="1">
      <alignment horizontal="right"/>
    </xf>
    <xf numFmtId="168" fontId="1" fillId="0" borderId="0" xfId="0" applyNumberFormat="1" applyFont="1" applyAlignment="1">
      <alignment horizontal="right"/>
    </xf>
    <xf numFmtId="168" fontId="1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168" fontId="2" fillId="0" borderId="12" xfId="0" applyNumberFormat="1" applyFont="1" applyBorder="1" applyAlignment="1">
      <alignment horizontal="right"/>
    </xf>
    <xf numFmtId="0" fontId="2" fillId="0" borderId="12" xfId="0" applyFont="1" applyBorder="1"/>
    <xf numFmtId="169" fontId="2" fillId="0" borderId="0" xfId="0" applyNumberFormat="1" applyFont="1" applyAlignment="1">
      <alignment horizontal="right"/>
    </xf>
    <xf numFmtId="168" fontId="2" fillId="0" borderId="13" xfId="0" applyNumberFormat="1" applyFont="1" applyBorder="1" applyAlignment="1">
      <alignment horizontal="right"/>
    </xf>
    <xf numFmtId="168" fontId="1" fillId="0" borderId="13" xfId="0" applyNumberFormat="1" applyFont="1" applyBorder="1" applyAlignment="1">
      <alignment horizontal="right"/>
    </xf>
    <xf numFmtId="168" fontId="1" fillId="3" borderId="6" xfId="0" applyNumberFormat="1" applyFont="1" applyFill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0" fontId="2" fillId="0" borderId="9" xfId="0" applyFont="1" applyBorder="1"/>
    <xf numFmtId="9" fontId="1" fillId="0" borderId="0" xfId="0" applyNumberFormat="1" applyFont="1"/>
    <xf numFmtId="168" fontId="1" fillId="0" borderId="0" xfId="0" applyNumberFormat="1" applyFont="1"/>
    <xf numFmtId="170" fontId="1" fillId="0" borderId="0" xfId="0" applyNumberFormat="1" applyFont="1"/>
    <xf numFmtId="172" fontId="1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wrapText="1"/>
    </xf>
    <xf numFmtId="167" fontId="7" fillId="0" borderId="0" xfId="0" applyNumberFormat="1" applyFont="1" applyAlignment="1">
      <alignment horizontal="right"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indent="1"/>
    </xf>
    <xf numFmtId="171" fontId="1" fillId="0" borderId="0" xfId="0" applyNumberFormat="1" applyFont="1"/>
    <xf numFmtId="0" fontId="11" fillId="0" borderId="0" xfId="0" applyFont="1"/>
    <xf numFmtId="0" fontId="11" fillId="0" borderId="0" xfId="0" quotePrefix="1" applyFont="1" applyAlignment="1">
      <alignment horizontal="left"/>
    </xf>
    <xf numFmtId="0" fontId="12" fillId="0" borderId="0" xfId="0" applyFont="1"/>
    <xf numFmtId="165" fontId="12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  <xf numFmtId="0" fontId="4" fillId="5" borderId="14" xfId="0" applyFont="1" applyFill="1" applyBorder="1"/>
    <xf numFmtId="165" fontId="4" fillId="5" borderId="14" xfId="0" applyNumberFormat="1" applyFont="1" applyFill="1" applyBorder="1" applyAlignment="1">
      <alignment horizontal="center"/>
    </xf>
    <xf numFmtId="165" fontId="4" fillId="5" borderId="14" xfId="0" applyNumberFormat="1" applyFont="1" applyFill="1" applyBorder="1" applyAlignment="1">
      <alignment horizontal="center" wrapText="1"/>
    </xf>
    <xf numFmtId="0" fontId="2" fillId="0" borderId="14" xfId="0" applyFont="1" applyBorder="1" applyAlignment="1">
      <alignment horizontal="left"/>
    </xf>
    <xf numFmtId="169" fontId="2" fillId="0" borderId="14" xfId="0" applyNumberFormat="1" applyFont="1" applyBorder="1" applyAlignment="1">
      <alignment horizontal="right"/>
    </xf>
    <xf numFmtId="0" fontId="2" fillId="0" borderId="14" xfId="0" applyFont="1" applyBorder="1" applyAlignment="1">
      <alignment wrapText="1"/>
    </xf>
    <xf numFmtId="0" fontId="1" fillId="0" borderId="14" xfId="0" applyFont="1" applyBorder="1"/>
    <xf numFmtId="168" fontId="1" fillId="6" borderId="14" xfId="0" applyNumberFormat="1" applyFont="1" applyFill="1" applyBorder="1" applyAlignment="1">
      <alignment horizontal="right"/>
    </xf>
    <xf numFmtId="168" fontId="1" fillId="3" borderId="14" xfId="0" applyNumberFormat="1" applyFont="1" applyFill="1" applyBorder="1" applyAlignment="1">
      <alignment horizontal="left" wrapText="1"/>
    </xf>
    <xf numFmtId="169" fontId="1" fillId="0" borderId="14" xfId="0" applyNumberFormat="1" applyFont="1" applyBorder="1" applyAlignment="1">
      <alignment horizontal="right"/>
    </xf>
    <xf numFmtId="169" fontId="1" fillId="0" borderId="14" xfId="0" applyNumberFormat="1" applyFont="1" applyBorder="1" applyAlignment="1">
      <alignment horizontal="left" wrapText="1"/>
    </xf>
    <xf numFmtId="169" fontId="2" fillId="0" borderId="14" xfId="0" applyNumberFormat="1" applyFont="1" applyBorder="1" applyAlignment="1">
      <alignment horizontal="left" wrapText="1"/>
    </xf>
    <xf numFmtId="170" fontId="1" fillId="0" borderId="14" xfId="0" applyNumberFormat="1" applyFont="1" applyBorder="1" applyAlignment="1">
      <alignment horizontal="right"/>
    </xf>
    <xf numFmtId="0" fontId="1" fillId="3" borderId="14" xfId="0" applyFont="1" applyFill="1" applyBorder="1" applyAlignment="1">
      <alignment horizontal="left" wrapText="1"/>
    </xf>
    <xf numFmtId="0" fontId="10" fillId="0" borderId="14" xfId="0" applyFont="1" applyBorder="1"/>
    <xf numFmtId="171" fontId="1" fillId="0" borderId="14" xfId="0" applyNumberFormat="1" applyFont="1" applyBorder="1" applyAlignment="1">
      <alignment horizontal="right"/>
    </xf>
    <xf numFmtId="171" fontId="1" fillId="3" borderId="1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9E2F3"/>
  </sheetPr>
  <dimension ref="A1:Z999"/>
  <sheetViews>
    <sheetView workbookViewId="0">
      <selection activeCell="C9" sqref="C9"/>
    </sheetView>
  </sheetViews>
  <sheetFormatPr defaultColWidth="14.44140625" defaultRowHeight="15" customHeight="1" x14ac:dyDescent="0.3"/>
  <cols>
    <col min="1" max="1" width="1.5546875" customWidth="1"/>
    <col min="2" max="2" width="34" customWidth="1"/>
    <col min="3" max="4" width="12" customWidth="1"/>
    <col min="5" max="26" width="8.6640625" customWidth="1"/>
  </cols>
  <sheetData>
    <row r="1" spans="1:26" ht="12" customHeight="1" x14ac:dyDescent="0.3">
      <c r="A1" s="1"/>
      <c r="B1" s="1"/>
      <c r="C1" s="2"/>
      <c r="D1" s="1"/>
      <c r="E1" s="3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3">
      <c r="A2" s="1"/>
      <c r="B2" s="1" t="s">
        <v>1</v>
      </c>
      <c r="C2" s="4" t="s">
        <v>182</v>
      </c>
      <c r="D2" s="1"/>
      <c r="E2" s="5" t="s">
        <v>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3">
      <c r="A3" s="1"/>
      <c r="B3" s="1" t="s">
        <v>3</v>
      </c>
      <c r="C3" s="6">
        <v>45291</v>
      </c>
      <c r="D3" s="1"/>
      <c r="E3" s="7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3">
      <c r="A4" s="1"/>
      <c r="B4" s="1" t="s">
        <v>5</v>
      </c>
      <c r="C4" s="6">
        <v>44926</v>
      </c>
      <c r="D4" s="1"/>
      <c r="E4" s="8" t="s">
        <v>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3">
      <c r="A5" s="1"/>
      <c r="B5" s="1" t="s">
        <v>7</v>
      </c>
      <c r="C5" s="4">
        <v>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3">
      <c r="A6" s="1"/>
      <c r="B6" s="1" t="s">
        <v>8</v>
      </c>
      <c r="C6" s="4" t="s">
        <v>183</v>
      </c>
      <c r="D6" s="9"/>
      <c r="E6" s="9"/>
      <c r="F6" s="9" t="s">
        <v>10</v>
      </c>
      <c r="G6" s="10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3">
      <c r="A7" s="1"/>
      <c r="B7" s="1" t="s">
        <v>11</v>
      </c>
      <c r="C7" s="11" t="s">
        <v>13</v>
      </c>
      <c r="D7" s="9" t="str">
        <f>$C$6&amp;IF($C7="Ones","",IF($C7="Thousands","'K","'M"))</f>
        <v>£'K</v>
      </c>
      <c r="E7" s="9"/>
      <c r="F7" s="9" t="s">
        <v>13</v>
      </c>
      <c r="G7" s="10">
        <v>1000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3">
      <c r="A8" s="9"/>
      <c r="B8" s="9"/>
      <c r="C8" s="12" t="s">
        <v>9</v>
      </c>
      <c r="D8" s="9"/>
      <c r="E8" s="9"/>
      <c r="F8" s="9" t="s">
        <v>12</v>
      </c>
      <c r="G8" s="10">
        <v>1000000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2" customHeight="1" x14ac:dyDescent="0.3">
      <c r="A9" s="9"/>
      <c r="B9" s="74"/>
      <c r="C9" s="75" t="s">
        <v>13</v>
      </c>
      <c r="D9" s="74" t="str">
        <f>$C$6&amp;IF($C9="Ones","",IF($C9="Thousands","'K","'M"))</f>
        <v>£'K</v>
      </c>
      <c r="E9" s="74" t="str">
        <f>$C$8&amp;IF($C9="Ones","",IF($C9="Thousands","'K","'M"))</f>
        <v>$'K</v>
      </c>
      <c r="F9" s="9" t="s">
        <v>14</v>
      </c>
      <c r="G9" s="10">
        <f>VLOOKUP(Input_Multiplier,F6:G8,2,FALSE)/VLOOKUP(Reporting_Multiplier,F6:G8,2,FALSE)</f>
        <v>1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2" customHeight="1" x14ac:dyDescent="0.3">
      <c r="A10" s="9"/>
      <c r="B10" s="74"/>
      <c r="C10" s="74"/>
      <c r="D10" s="74"/>
      <c r="E10" s="74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2" customHeight="1" x14ac:dyDescent="0.3">
      <c r="A11" s="9"/>
      <c r="B11" s="76" t="s">
        <v>15</v>
      </c>
      <c r="C11" s="77">
        <f>EDATE(FinancialYearEnd,-12*NumPriorAnnualReportsRecorded)</f>
        <v>44926</v>
      </c>
      <c r="D11" s="77">
        <f>EDATE(C11,12)</f>
        <v>45291</v>
      </c>
      <c r="E11" s="74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2" customHeight="1" x14ac:dyDescent="0.3">
      <c r="A12" s="9"/>
      <c r="B12" s="74" t="str">
        <f>Currency&amp;"--&gt;"&amp;C8</f>
        <v>£--&gt;$</v>
      </c>
      <c r="C12" s="78">
        <v>1</v>
      </c>
      <c r="D12" s="78">
        <v>1</v>
      </c>
      <c r="E12" s="74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2" customHeight="1" x14ac:dyDescent="0.3">
      <c r="A13" s="1"/>
      <c r="B13" s="74"/>
      <c r="C13" s="79"/>
      <c r="D13" s="74"/>
      <c r="E13" s="7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3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3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3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3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3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3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3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3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3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3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3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3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3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3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3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3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3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3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3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3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3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3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3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3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3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3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3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3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3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3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3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3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3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3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3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3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3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3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3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3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3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3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3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3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3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3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3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3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3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3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3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3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3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3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3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3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3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3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3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3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3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3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3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3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3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3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3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3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3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3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3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3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3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3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3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3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3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3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3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3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3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3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3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3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3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3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3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3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3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3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3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3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3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3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3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3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3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3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3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3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3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3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3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3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3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3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3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3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3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3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3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3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3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3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3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3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3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3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3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3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3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3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3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3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3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3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3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3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3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3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3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3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3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3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3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3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3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3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3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3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3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3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3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3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3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3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3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3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3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3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3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3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3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3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3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3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3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3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3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3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3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3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3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3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3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3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3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3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3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3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3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3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3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3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3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3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3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3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3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3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3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3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3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3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3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3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3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3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3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3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3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3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3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3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3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3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3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3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3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3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3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3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3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3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3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3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3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3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3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3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3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3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3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3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3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3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3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3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3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3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3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3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3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3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3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3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3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3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3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3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3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3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3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3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3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3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3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3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3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3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3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3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3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3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3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3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3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3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3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3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3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3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3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3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3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3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3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3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3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3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3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3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3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3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3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3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3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3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3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3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3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3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3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3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3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3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3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3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3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3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3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3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3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3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3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3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3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3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3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3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3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3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3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3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3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3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3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3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3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3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3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3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3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3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3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3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3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3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3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3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3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3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3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3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3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3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3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3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3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3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3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3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3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3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3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3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3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3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3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3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3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3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3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3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3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3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3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3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3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3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3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3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3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3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3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3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3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3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3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3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3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3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3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3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3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3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3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3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3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3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3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3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3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3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3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3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3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3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3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3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3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3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3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3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3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3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3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3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3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3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3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3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3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3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3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3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3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3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3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3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3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3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3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3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3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3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3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3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3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3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3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3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3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3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3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3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3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3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3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3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3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3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3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3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3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3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3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3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3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3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3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3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3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3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3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3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3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3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3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3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3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3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3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3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3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3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3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3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3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3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3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3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3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3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3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3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3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3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3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3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3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3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3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3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3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3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3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3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3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3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3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3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3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3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3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3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3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3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3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3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3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3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3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3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3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3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3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3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3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3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3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3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3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3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3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3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3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3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3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3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3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3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3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3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3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3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3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3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3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3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3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3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3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3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3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3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3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3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3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3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3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3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3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3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3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3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3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3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3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3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3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3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3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3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3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3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3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3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3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3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3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3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3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3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3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3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3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3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3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3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3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3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3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3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3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3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3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3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3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3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3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3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3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3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3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3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3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3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3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3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3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3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3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3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3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3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3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3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3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3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3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3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3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3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3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3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3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3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3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3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3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3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3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3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3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3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3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3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3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3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3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3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3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3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3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3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3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3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3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3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3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3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3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3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3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3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3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3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3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3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3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3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3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3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3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3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3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3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3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3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3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3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3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3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3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3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3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3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3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3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3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3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3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3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3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3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3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3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3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3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3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3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3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3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3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3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3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3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3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3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3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3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3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3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3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3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3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3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3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3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3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3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3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3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3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3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3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3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3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3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3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3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3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3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3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3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3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3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3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3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3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3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3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3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3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3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3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3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3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3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3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3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3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3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3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3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3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3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3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3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3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3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3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3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3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3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3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3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3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3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3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3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3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3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3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3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3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3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3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3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3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3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3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3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3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3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3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3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3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3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3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3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3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3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3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3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3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3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3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3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3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3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3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3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3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3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3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3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3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3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3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3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3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3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3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3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3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3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3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3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3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3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3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3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3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3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3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3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3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3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3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3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3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3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3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3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3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3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3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3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3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3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3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3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3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3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3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3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3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3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3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3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3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3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3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3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3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3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3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3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3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3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3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3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3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3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3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3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3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3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3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3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3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3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3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3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3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3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3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3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3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3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3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3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3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3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3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3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3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3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3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3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3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3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3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3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3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3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3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3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3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3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3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3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3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3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3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3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3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3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3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3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3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3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3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3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3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3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3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3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3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3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3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3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3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3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3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3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3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3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3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3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3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3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3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3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3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3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3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3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3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3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3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3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3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3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3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3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3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3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3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3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3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3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3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3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3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3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3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3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3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3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3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3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3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3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3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3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3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3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3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3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3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3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3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3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3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3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3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3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3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3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3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3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3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3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3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3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3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3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3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3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3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3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3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3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3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3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3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3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3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3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3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3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3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3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3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3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3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3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3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3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3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3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3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3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3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3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ataValidations count="2">
    <dataValidation type="list" allowBlank="1" showErrorMessage="1" sqref="C9 C7" xr:uid="{00000000-0002-0000-0000-000000000000}">
      <formula1>"Ones,Thousands,Millions"</formula1>
    </dataValidation>
    <dataValidation type="list" allowBlank="1" showErrorMessage="1" sqref="C8 C6" xr:uid="{00000000-0002-0000-0000-000001000000}">
      <formula1>"$,£,€,AED"</formula1>
    </dataValidation>
  </dataValidation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Z100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7" sqref="B7"/>
    </sheetView>
  </sheetViews>
  <sheetFormatPr defaultColWidth="14.44140625" defaultRowHeight="15" customHeight="1" x14ac:dyDescent="0.3"/>
  <cols>
    <col min="1" max="1" width="34.44140625" customWidth="1"/>
    <col min="2" max="3" width="11.109375" customWidth="1"/>
    <col min="4" max="26" width="8.6640625" customWidth="1"/>
  </cols>
  <sheetData>
    <row r="1" spans="1:26" ht="12" customHeight="1" x14ac:dyDescent="0.3">
      <c r="A1" s="13" t="str">
        <f>CompanyName</f>
        <v>Green Solutions Manufacturing Ltd.</v>
      </c>
      <c r="B1" s="14"/>
      <c r="C1" s="1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3">
      <c r="A2" s="15" t="s">
        <v>16</v>
      </c>
      <c r="B2" s="14"/>
      <c r="C2" s="1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3">
      <c r="A3" s="1"/>
      <c r="B3" s="17" t="str">
        <f>IF(B$4&lt;=FinancialYearEnd,"Actual","Forecast")</f>
        <v>Actual</v>
      </c>
      <c r="C3" s="17" t="str">
        <f>IF(C$4&lt;=FinancialYearEnd,"Actual","Forecast")</f>
        <v>Actual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3">
      <c r="A4" s="18" t="str">
        <f>'P. Input'!$D$7</f>
        <v>£'K</v>
      </c>
      <c r="B4" s="19">
        <f>EDATE(FinancialYearEnd,-12*NumPriorAnnualReportsRecorded)</f>
        <v>44926</v>
      </c>
      <c r="C4" s="19">
        <f>EDATE(B4,12)</f>
        <v>45291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" customHeight="1" x14ac:dyDescent="0.3">
      <c r="A5" s="20" t="s">
        <v>17</v>
      </c>
      <c r="B5" s="21">
        <v>31536</v>
      </c>
      <c r="C5" s="21">
        <v>53823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" customHeight="1" x14ac:dyDescent="0.3">
      <c r="A6" s="22" t="s">
        <v>18</v>
      </c>
      <c r="B6" s="21">
        <v>24906</v>
      </c>
      <c r="C6" s="21">
        <v>40217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3">
      <c r="A7" s="23" t="s">
        <v>19</v>
      </c>
      <c r="B7" s="24">
        <f t="shared" ref="B7:C7" si="0">IFERROR(ABS(B$6)/B$5,"-")</f>
        <v>0.7897640791476408</v>
      </c>
      <c r="C7" s="24">
        <f t="shared" si="0"/>
        <v>0.74720844248741247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3">
      <c r="A8" s="25" t="s">
        <v>20</v>
      </c>
      <c r="B8" s="26">
        <f t="shared" ref="B8:C8" si="1">B5-B6</f>
        <v>6630</v>
      </c>
      <c r="C8" s="26">
        <f t="shared" si="1"/>
        <v>13606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" customHeight="1" x14ac:dyDescent="0.3">
      <c r="A9" s="27" t="s">
        <v>21</v>
      </c>
      <c r="B9" s="28">
        <v>1491</v>
      </c>
      <c r="C9" s="28">
        <v>2593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3">
      <c r="A10" s="22" t="s">
        <v>22</v>
      </c>
      <c r="B10" s="21">
        <v>3145</v>
      </c>
      <c r="C10" s="21">
        <v>4517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x14ac:dyDescent="0.3">
      <c r="A11" s="22" t="s">
        <v>23</v>
      </c>
      <c r="B11" s="21">
        <v>0</v>
      </c>
      <c r="C11" s="21">
        <v>-27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3">
      <c r="A12" s="29" t="s">
        <v>24</v>
      </c>
      <c r="B12" s="26">
        <f t="shared" ref="B12:C12" si="2">B8-SUM(B9:B11)</f>
        <v>1994</v>
      </c>
      <c r="C12" s="26">
        <f t="shared" si="2"/>
        <v>6523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" customHeight="1" x14ac:dyDescent="0.3">
      <c r="A13" s="22" t="s">
        <v>25</v>
      </c>
      <c r="B13" s="21">
        <v>30</v>
      </c>
      <c r="C13" s="21">
        <v>56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3">
      <c r="A14" s="22" t="s">
        <v>26</v>
      </c>
      <c r="B14" s="21">
        <v>-748</v>
      </c>
      <c r="C14" s="21">
        <v>-371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3">
      <c r="A15" s="22" t="s">
        <v>27</v>
      </c>
      <c r="B15" s="21">
        <v>-122</v>
      </c>
      <c r="C15" s="21">
        <v>135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3">
      <c r="A16" s="29" t="s">
        <v>28</v>
      </c>
      <c r="B16" s="26">
        <f t="shared" ref="B16:C16" si="3">B12+SUM(B13:B15)</f>
        <v>1154</v>
      </c>
      <c r="C16" s="26">
        <f t="shared" si="3"/>
        <v>6343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" customHeight="1" x14ac:dyDescent="0.3">
      <c r="A17" s="2" t="s">
        <v>29</v>
      </c>
      <c r="B17" s="21">
        <v>292</v>
      </c>
      <c r="C17" s="21">
        <v>699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3">
      <c r="A18" s="29" t="s">
        <v>30</v>
      </c>
      <c r="B18" s="26">
        <f t="shared" ref="B18:C18" si="4">B16-B17</f>
        <v>862</v>
      </c>
      <c r="C18" s="26">
        <f t="shared" si="4"/>
        <v>5644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" customHeight="1" x14ac:dyDescent="0.3">
      <c r="A19" s="30" t="s">
        <v>31</v>
      </c>
      <c r="B19" s="21">
        <v>141</v>
      </c>
      <c r="C19" s="21">
        <v>125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3">
      <c r="A20" s="31" t="s">
        <v>32</v>
      </c>
      <c r="B20" s="32">
        <f t="shared" ref="B20:C20" si="5">B18-B19</f>
        <v>721</v>
      </c>
      <c r="C20" s="32">
        <f t="shared" si="5"/>
        <v>5519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" customHeight="1" x14ac:dyDescent="0.3">
      <c r="A21" s="1"/>
      <c r="B21" s="33"/>
      <c r="C21" s="3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3">
      <c r="A22" s="1"/>
      <c r="B22" s="33"/>
      <c r="C22" s="3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3">
      <c r="A23" s="34" t="s">
        <v>33</v>
      </c>
      <c r="B23" s="35"/>
      <c r="C23" s="35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" customHeight="1" x14ac:dyDescent="0.3">
      <c r="A24" s="36" t="s">
        <v>34</v>
      </c>
      <c r="B24" s="37">
        <f t="shared" ref="B24:C24" si="6">B12</f>
        <v>1994</v>
      </c>
      <c r="C24" s="37">
        <f t="shared" si="6"/>
        <v>6523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3">
      <c r="A25" s="38" t="s">
        <v>35</v>
      </c>
      <c r="B25" s="39">
        <f t="shared" ref="B25:C25" si="7">SUM(B26:B27)</f>
        <v>-500</v>
      </c>
      <c r="C25" s="39">
        <f t="shared" si="7"/>
        <v>-1000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" customHeight="1" x14ac:dyDescent="0.3">
      <c r="A26" s="22" t="s">
        <v>36</v>
      </c>
      <c r="B26" s="21">
        <v>-500</v>
      </c>
      <c r="C26" s="21">
        <v>-1000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3">
      <c r="A27" s="22" t="s">
        <v>37</v>
      </c>
      <c r="B27" s="21"/>
      <c r="C27" s="2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3">
      <c r="A28" s="29" t="s">
        <v>38</v>
      </c>
      <c r="B28" s="40">
        <f t="shared" ref="B28:C28" si="8">B24+B25</f>
        <v>1494</v>
      </c>
      <c r="C28" s="40">
        <f t="shared" si="8"/>
        <v>5523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" customHeight="1" x14ac:dyDescent="0.3">
      <c r="A29" s="41" t="s">
        <v>39</v>
      </c>
      <c r="B29" s="42">
        <f t="shared" ref="B29:C29" si="9">IFERROR(B28/B5,"-")</f>
        <v>4.737442922374429E-2</v>
      </c>
      <c r="C29" s="42">
        <f t="shared" si="9"/>
        <v>0.10261412407335155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3">
      <c r="A30" s="1"/>
      <c r="B30" s="14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3">
      <c r="A31" s="1"/>
      <c r="B31" s="14"/>
      <c r="C31" s="1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3">
      <c r="A32" s="1"/>
      <c r="B32" s="14"/>
      <c r="C32" s="1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3">
      <c r="A33" s="1"/>
      <c r="B33" s="14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3">
      <c r="A34" s="1"/>
      <c r="B34" s="14"/>
      <c r="C34" s="1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3">
      <c r="A35" s="1"/>
      <c r="B35" s="14"/>
      <c r="C35" s="1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3">
      <c r="A36" s="1"/>
      <c r="B36" s="14"/>
      <c r="C36" s="1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3">
      <c r="A37" s="1"/>
      <c r="B37" s="14"/>
      <c r="C37" s="1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3">
      <c r="A38" s="1"/>
      <c r="B38" s="14"/>
      <c r="C38" s="1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3">
      <c r="A39" s="1"/>
      <c r="B39" s="14"/>
      <c r="C39" s="1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3">
      <c r="A40" s="1"/>
      <c r="B40" s="14"/>
      <c r="C40" s="1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3">
      <c r="A41" s="1"/>
      <c r="B41" s="14"/>
      <c r="C41" s="1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3">
      <c r="A42" s="1"/>
      <c r="B42" s="14"/>
      <c r="C42" s="1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3">
      <c r="A43" s="1"/>
      <c r="B43" s="14"/>
      <c r="C43" s="1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3">
      <c r="A44" s="1"/>
      <c r="B44" s="14"/>
      <c r="C44" s="1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3">
      <c r="A45" s="1"/>
      <c r="B45" s="14"/>
      <c r="C45" s="1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3">
      <c r="A46" s="1"/>
      <c r="B46" s="14"/>
      <c r="C46" s="1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3">
      <c r="A47" s="1"/>
      <c r="B47" s="14"/>
      <c r="C47" s="1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3">
      <c r="A48" s="1"/>
      <c r="B48" s="14"/>
      <c r="C48" s="1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3">
      <c r="A49" s="1"/>
      <c r="B49" s="14"/>
      <c r="C49" s="1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3">
      <c r="A50" s="1"/>
      <c r="B50" s="14"/>
      <c r="C50" s="1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3">
      <c r="A51" s="1"/>
      <c r="B51" s="14"/>
      <c r="C51" s="1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3">
      <c r="A52" s="1"/>
      <c r="B52" s="14"/>
      <c r="C52" s="1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3">
      <c r="A53" s="1"/>
      <c r="B53" s="14"/>
      <c r="C53" s="1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3">
      <c r="A54" s="1"/>
      <c r="B54" s="14"/>
      <c r="C54" s="1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3">
      <c r="A55" s="1"/>
      <c r="B55" s="14"/>
      <c r="C55" s="1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3">
      <c r="A56" s="1"/>
      <c r="B56" s="14"/>
      <c r="C56" s="1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3">
      <c r="A57" s="1"/>
      <c r="B57" s="14"/>
      <c r="C57" s="1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3">
      <c r="A58" s="1"/>
      <c r="B58" s="14"/>
      <c r="C58" s="1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3">
      <c r="A59" s="1"/>
      <c r="B59" s="14"/>
      <c r="C59" s="1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3">
      <c r="A60" s="1"/>
      <c r="B60" s="14"/>
      <c r="C60" s="1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3">
      <c r="A61" s="1"/>
      <c r="B61" s="14"/>
      <c r="C61" s="1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3">
      <c r="A62" s="1"/>
      <c r="B62" s="14"/>
      <c r="C62" s="1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3">
      <c r="A63" s="1"/>
      <c r="B63" s="14"/>
      <c r="C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3">
      <c r="A64" s="1"/>
      <c r="B64" s="14"/>
      <c r="C64" s="1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3">
      <c r="A65" s="1"/>
      <c r="B65" s="14"/>
      <c r="C65" s="1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3">
      <c r="A66" s="1"/>
      <c r="B66" s="14"/>
      <c r="C66" s="1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3">
      <c r="A67" s="1"/>
      <c r="B67" s="14"/>
      <c r="C67" s="1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3">
      <c r="A68" s="1"/>
      <c r="B68" s="14"/>
      <c r="C68" s="1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3">
      <c r="A69" s="1"/>
      <c r="B69" s="14"/>
      <c r="C69" s="1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3">
      <c r="A70" s="1"/>
      <c r="B70" s="14"/>
      <c r="C70" s="1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3">
      <c r="A71" s="1"/>
      <c r="B71" s="14"/>
      <c r="C71" s="1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3">
      <c r="A72" s="1"/>
      <c r="B72" s="14"/>
      <c r="C72" s="1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3">
      <c r="A73" s="1"/>
      <c r="B73" s="14"/>
      <c r="C73" s="1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3">
      <c r="A74" s="1"/>
      <c r="B74" s="14"/>
      <c r="C74" s="1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3">
      <c r="A75" s="1"/>
      <c r="B75" s="14"/>
      <c r="C75" s="1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3">
      <c r="A76" s="1"/>
      <c r="B76" s="14"/>
      <c r="C76" s="1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3">
      <c r="A77" s="1"/>
      <c r="B77" s="14"/>
      <c r="C77" s="1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3">
      <c r="A78" s="1"/>
      <c r="B78" s="14"/>
      <c r="C78" s="1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1"/>
      <c r="B79" s="14"/>
      <c r="C79" s="1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3">
      <c r="A80" s="1"/>
      <c r="B80" s="14"/>
      <c r="C80" s="1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3">
      <c r="A81" s="1"/>
      <c r="B81" s="14"/>
      <c r="C81" s="1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3">
      <c r="A82" s="1"/>
      <c r="B82" s="14"/>
      <c r="C82" s="1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3">
      <c r="A83" s="1"/>
      <c r="B83" s="14"/>
      <c r="C83" s="1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3">
      <c r="A84" s="1"/>
      <c r="B84" s="14"/>
      <c r="C84" s="1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3">
      <c r="A85" s="1"/>
      <c r="B85" s="14"/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3">
      <c r="A86" s="1"/>
      <c r="B86" s="14"/>
      <c r="C86" s="1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3">
      <c r="A87" s="1"/>
      <c r="B87" s="14"/>
      <c r="C87" s="1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3">
      <c r="A88" s="1"/>
      <c r="B88" s="14"/>
      <c r="C88" s="1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3">
      <c r="A89" s="1"/>
      <c r="B89" s="14"/>
      <c r="C89" s="1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3">
      <c r="A90" s="1"/>
      <c r="B90" s="14"/>
      <c r="C90" s="1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3">
      <c r="A91" s="1"/>
      <c r="B91" s="14"/>
      <c r="C91" s="1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3">
      <c r="A92" s="1"/>
      <c r="B92" s="14"/>
      <c r="C92" s="1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3">
      <c r="A93" s="1"/>
      <c r="B93" s="14"/>
      <c r="C93" s="1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3">
      <c r="A94" s="1"/>
      <c r="B94" s="14"/>
      <c r="C94" s="1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3">
      <c r="A95" s="1"/>
      <c r="B95" s="14"/>
      <c r="C95" s="1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3">
      <c r="A96" s="1"/>
      <c r="B96" s="14"/>
      <c r="C96" s="1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3">
      <c r="A97" s="1"/>
      <c r="B97" s="14"/>
      <c r="C97" s="1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3">
      <c r="A98" s="1"/>
      <c r="B98" s="14"/>
      <c r="C98" s="1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3">
      <c r="A99" s="1"/>
      <c r="B99" s="14"/>
      <c r="C99" s="1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3">
      <c r="A100" s="1"/>
      <c r="B100" s="14"/>
      <c r="C100" s="1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3">
      <c r="A101" s="1"/>
      <c r="B101" s="14"/>
      <c r="C101" s="1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3">
      <c r="A102" s="1"/>
      <c r="B102" s="14"/>
      <c r="C102" s="1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3">
      <c r="A103" s="1"/>
      <c r="B103" s="14"/>
      <c r="C103" s="1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3">
      <c r="A104" s="1"/>
      <c r="B104" s="14"/>
      <c r="C104" s="1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3">
      <c r="A105" s="1"/>
      <c r="B105" s="14"/>
      <c r="C105" s="1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3">
      <c r="A106" s="1"/>
      <c r="B106" s="14"/>
      <c r="C106" s="1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3">
      <c r="A107" s="1"/>
      <c r="B107" s="14"/>
      <c r="C107" s="1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3">
      <c r="A108" s="1"/>
      <c r="B108" s="14"/>
      <c r="C108" s="1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3">
      <c r="A109" s="1"/>
      <c r="B109" s="14"/>
      <c r="C109" s="1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3">
      <c r="A110" s="1"/>
      <c r="B110" s="14"/>
      <c r="C110" s="1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3">
      <c r="A111" s="1"/>
      <c r="B111" s="14"/>
      <c r="C111" s="1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3">
      <c r="A112" s="1"/>
      <c r="B112" s="14"/>
      <c r="C112" s="1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3">
      <c r="A113" s="1"/>
      <c r="B113" s="14"/>
      <c r="C113" s="1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3">
      <c r="A114" s="1"/>
      <c r="B114" s="14"/>
      <c r="C114" s="1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3">
      <c r="A115" s="1"/>
      <c r="B115" s="14"/>
      <c r="C115" s="1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3">
      <c r="A116" s="1"/>
      <c r="B116" s="14"/>
      <c r="C116" s="1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3">
      <c r="A117" s="1"/>
      <c r="B117" s="14"/>
      <c r="C117" s="1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3">
      <c r="A118" s="1"/>
      <c r="B118" s="14"/>
      <c r="C118" s="1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3">
      <c r="A119" s="1"/>
      <c r="B119" s="14"/>
      <c r="C119" s="1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3">
      <c r="A120" s="1"/>
      <c r="B120" s="14"/>
      <c r="C120" s="1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3">
      <c r="A121" s="1"/>
      <c r="B121" s="14"/>
      <c r="C121" s="1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3">
      <c r="A122" s="1"/>
      <c r="B122" s="14"/>
      <c r="C122" s="1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3">
      <c r="A123" s="1"/>
      <c r="B123" s="14"/>
      <c r="C123" s="1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3">
      <c r="A124" s="1"/>
      <c r="B124" s="14"/>
      <c r="C124" s="1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3">
      <c r="A125" s="1"/>
      <c r="B125" s="14"/>
      <c r="C125" s="1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3">
      <c r="A126" s="1"/>
      <c r="B126" s="14"/>
      <c r="C126" s="14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3">
      <c r="A127" s="1"/>
      <c r="B127" s="14"/>
      <c r="C127" s="1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3">
      <c r="A128" s="1"/>
      <c r="B128" s="14"/>
      <c r="C128" s="1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3">
      <c r="A129" s="1"/>
      <c r="B129" s="14"/>
      <c r="C129" s="1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3">
      <c r="A130" s="1"/>
      <c r="B130" s="14"/>
      <c r="C130" s="1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3">
      <c r="A131" s="1"/>
      <c r="B131" s="14"/>
      <c r="C131" s="1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3">
      <c r="A132" s="1"/>
      <c r="B132" s="14"/>
      <c r="C132" s="1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3">
      <c r="A133" s="1"/>
      <c r="B133" s="14"/>
      <c r="C133" s="1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3">
      <c r="A134" s="1"/>
      <c r="B134" s="14"/>
      <c r="C134" s="1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3">
      <c r="A135" s="1"/>
      <c r="B135" s="14"/>
      <c r="C135" s="1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3">
      <c r="A136" s="1"/>
      <c r="B136" s="14"/>
      <c r="C136" s="1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3">
      <c r="A137" s="1"/>
      <c r="B137" s="14"/>
      <c r="C137" s="1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3">
      <c r="A138" s="1"/>
      <c r="B138" s="14"/>
      <c r="C138" s="1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3">
      <c r="A139" s="1"/>
      <c r="B139" s="14"/>
      <c r="C139" s="1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3">
      <c r="A140" s="1"/>
      <c r="B140" s="14"/>
      <c r="C140" s="1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3">
      <c r="A141" s="1"/>
      <c r="B141" s="14"/>
      <c r="C141" s="1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3">
      <c r="A142" s="1"/>
      <c r="B142" s="14"/>
      <c r="C142" s="1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3">
      <c r="A143" s="1"/>
      <c r="B143" s="14"/>
      <c r="C143" s="1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3">
      <c r="A144" s="1"/>
      <c r="B144" s="14"/>
      <c r="C144" s="1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3">
      <c r="A145" s="1"/>
      <c r="B145" s="14"/>
      <c r="C145" s="1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3">
      <c r="A146" s="1"/>
      <c r="B146" s="14"/>
      <c r="C146" s="1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3">
      <c r="A147" s="1"/>
      <c r="B147" s="14"/>
      <c r="C147" s="1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3">
      <c r="A148" s="1"/>
      <c r="B148" s="14"/>
      <c r="C148" s="1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3">
      <c r="A149" s="1"/>
      <c r="B149" s="14"/>
      <c r="C149" s="1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1"/>
      <c r="B150" s="14"/>
      <c r="C150" s="14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3">
      <c r="A151" s="1"/>
      <c r="B151" s="14"/>
      <c r="C151" s="14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3">
      <c r="A152" s="1"/>
      <c r="B152" s="14"/>
      <c r="C152" s="14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3">
      <c r="A153" s="1"/>
      <c r="B153" s="14"/>
      <c r="C153" s="14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3">
      <c r="A154" s="1"/>
      <c r="B154" s="14"/>
      <c r="C154" s="1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3">
      <c r="A155" s="1"/>
      <c r="B155" s="14"/>
      <c r="C155" s="14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3">
      <c r="A156" s="1"/>
      <c r="B156" s="14"/>
      <c r="C156" s="14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3">
      <c r="A157" s="1"/>
      <c r="B157" s="14"/>
      <c r="C157" s="14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3">
      <c r="A158" s="1"/>
      <c r="B158" s="14"/>
      <c r="C158" s="1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3">
      <c r="A159" s="1"/>
      <c r="B159" s="14"/>
      <c r="C159" s="14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3">
      <c r="A160" s="1"/>
      <c r="B160" s="14"/>
      <c r="C160" s="14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3">
      <c r="A161" s="1"/>
      <c r="B161" s="14"/>
      <c r="C161" s="14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3">
      <c r="A162" s="1"/>
      <c r="B162" s="14"/>
      <c r="C162" s="14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3">
      <c r="A163" s="1"/>
      <c r="B163" s="14"/>
      <c r="C163" s="14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3">
      <c r="A164" s="1"/>
      <c r="B164" s="14"/>
      <c r="C164" s="14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3">
      <c r="A165" s="1"/>
      <c r="B165" s="14"/>
      <c r="C165" s="1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3">
      <c r="A166" s="1"/>
      <c r="B166" s="14"/>
      <c r="C166" s="14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3">
      <c r="A167" s="1"/>
      <c r="B167" s="14"/>
      <c r="C167" s="14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3">
      <c r="A168" s="1"/>
      <c r="B168" s="14"/>
      <c r="C168" s="14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3">
      <c r="A169" s="1"/>
      <c r="B169" s="14"/>
      <c r="C169" s="1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3">
      <c r="A170" s="1"/>
      <c r="B170" s="14"/>
      <c r="C170" s="14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3">
      <c r="A171" s="1"/>
      <c r="B171" s="14"/>
      <c r="C171" s="14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1"/>
      <c r="B172" s="14"/>
      <c r="C172" s="14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3">
      <c r="A173" s="1"/>
      <c r="B173" s="14"/>
      <c r="C173" s="14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3">
      <c r="A174" s="1"/>
      <c r="B174" s="14"/>
      <c r="C174" s="1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3">
      <c r="A175" s="1"/>
      <c r="B175" s="14"/>
      <c r="C175" s="1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3">
      <c r="A176" s="1"/>
      <c r="B176" s="14"/>
      <c r="C176" s="1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3">
      <c r="A177" s="1"/>
      <c r="B177" s="14"/>
      <c r="C177" s="1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3">
      <c r="A178" s="1"/>
      <c r="B178" s="14"/>
      <c r="C178" s="1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3">
      <c r="A179" s="1"/>
      <c r="B179" s="14"/>
      <c r="C179" s="1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3">
      <c r="A180" s="1"/>
      <c r="B180" s="14"/>
      <c r="C180" s="1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3">
      <c r="A181" s="1"/>
      <c r="B181" s="14"/>
      <c r="C181" s="14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3">
      <c r="A182" s="1"/>
      <c r="B182" s="14"/>
      <c r="C182" s="14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3">
      <c r="A183" s="1"/>
      <c r="B183" s="14"/>
      <c r="C183" s="14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3">
      <c r="A184" s="1"/>
      <c r="B184" s="14"/>
      <c r="C184" s="14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3">
      <c r="A185" s="1"/>
      <c r="B185" s="14"/>
      <c r="C185" s="14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3">
      <c r="A186" s="1"/>
      <c r="B186" s="14"/>
      <c r="C186" s="14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3">
      <c r="A187" s="1"/>
      <c r="B187" s="14"/>
      <c r="C187" s="14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3">
      <c r="A188" s="1"/>
      <c r="B188" s="14"/>
      <c r="C188" s="14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3">
      <c r="A189" s="1"/>
      <c r="B189" s="14"/>
      <c r="C189" s="1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3">
      <c r="A190" s="1"/>
      <c r="B190" s="14"/>
      <c r="C190" s="1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3">
      <c r="A191" s="1"/>
      <c r="B191" s="14"/>
      <c r="C191" s="1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3">
      <c r="A192" s="1"/>
      <c r="B192" s="14"/>
      <c r="C192" s="1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3">
      <c r="A193" s="1"/>
      <c r="B193" s="14"/>
      <c r="C193" s="1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3">
      <c r="A194" s="1"/>
      <c r="B194" s="14"/>
      <c r="C194" s="1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3">
      <c r="A195" s="1"/>
      <c r="B195" s="14"/>
      <c r="C195" s="1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3">
      <c r="A196" s="1"/>
      <c r="B196" s="14"/>
      <c r="C196" s="1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3">
      <c r="A197" s="1"/>
      <c r="B197" s="14"/>
      <c r="C197" s="1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3">
      <c r="A198" s="1"/>
      <c r="B198" s="14"/>
      <c r="C198" s="1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3">
      <c r="A199" s="1"/>
      <c r="B199" s="14"/>
      <c r="C199" s="1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3">
      <c r="A200" s="1"/>
      <c r="B200" s="14"/>
      <c r="C200" s="1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3">
      <c r="A201" s="1"/>
      <c r="B201" s="14"/>
      <c r="C201" s="1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3">
      <c r="A202" s="1"/>
      <c r="B202" s="14"/>
      <c r="C202" s="1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3">
      <c r="A203" s="1"/>
      <c r="B203" s="14"/>
      <c r="C203" s="1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3">
      <c r="A204" s="1"/>
      <c r="B204" s="14"/>
      <c r="C204" s="1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3">
      <c r="A205" s="1"/>
      <c r="B205" s="14"/>
      <c r="C205" s="14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3">
      <c r="A206" s="1"/>
      <c r="B206" s="14"/>
      <c r="C206" s="14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3">
      <c r="A207" s="1"/>
      <c r="B207" s="14"/>
      <c r="C207" s="14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3">
      <c r="A208" s="1"/>
      <c r="B208" s="14"/>
      <c r="C208" s="1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3">
      <c r="A209" s="1"/>
      <c r="B209" s="14"/>
      <c r="C209" s="1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3">
      <c r="A210" s="1"/>
      <c r="B210" s="14"/>
      <c r="C210" s="1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3">
      <c r="A211" s="1"/>
      <c r="B211" s="14"/>
      <c r="C211" s="1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3">
      <c r="A212" s="1"/>
      <c r="B212" s="14"/>
      <c r="C212" s="1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3">
      <c r="A213" s="1"/>
      <c r="B213" s="14"/>
      <c r="C213" s="1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3">
      <c r="A214" s="1"/>
      <c r="B214" s="14"/>
      <c r="C214" s="1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3">
      <c r="A215" s="1"/>
      <c r="B215" s="14"/>
      <c r="C215" s="1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3">
      <c r="A216" s="1"/>
      <c r="B216" s="14"/>
      <c r="C216" s="1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3">
      <c r="A217" s="1"/>
      <c r="B217" s="14"/>
      <c r="C217" s="1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3">
      <c r="A218" s="1"/>
      <c r="B218" s="14"/>
      <c r="C218" s="1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3">
      <c r="A219" s="1"/>
      <c r="B219" s="14"/>
      <c r="C219" s="1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3">
      <c r="A220" s="1"/>
      <c r="B220" s="14"/>
      <c r="C220" s="1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3">
      <c r="A221" s="1"/>
      <c r="B221" s="14"/>
      <c r="C221" s="1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3">
      <c r="A222" s="1"/>
      <c r="B222" s="14"/>
      <c r="C222" s="1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3">
      <c r="A223" s="1"/>
      <c r="B223" s="14"/>
      <c r="C223" s="1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3">
      <c r="A224" s="1"/>
      <c r="B224" s="14"/>
      <c r="C224" s="14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3">
      <c r="A225" s="1"/>
      <c r="B225" s="14"/>
      <c r="C225" s="14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3">
      <c r="A226" s="1"/>
      <c r="B226" s="14"/>
      <c r="C226" s="1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3">
      <c r="A227" s="1"/>
      <c r="B227" s="14"/>
      <c r="C227" s="14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3">
      <c r="A228" s="1"/>
      <c r="B228" s="14"/>
      <c r="C228" s="14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3">
      <c r="A229" s="1"/>
      <c r="B229" s="14"/>
      <c r="C229" s="14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3">
      <c r="A230" s="1"/>
      <c r="B230" s="14"/>
      <c r="C230" s="14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3">
      <c r="A231" s="1"/>
      <c r="B231" s="14"/>
      <c r="C231" s="14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3">
      <c r="A232" s="1"/>
      <c r="B232" s="14"/>
      <c r="C232" s="14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3">
      <c r="A233" s="1"/>
      <c r="B233" s="14"/>
      <c r="C233" s="14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3">
      <c r="A234" s="1"/>
      <c r="B234" s="14"/>
      <c r="C234" s="14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3">
      <c r="A235" s="1"/>
      <c r="B235" s="14"/>
      <c r="C235" s="14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3">
      <c r="A236" s="1"/>
      <c r="B236" s="14"/>
      <c r="C236" s="14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3">
      <c r="A237" s="1"/>
      <c r="B237" s="14"/>
      <c r="C237" s="14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3">
      <c r="A238" s="1"/>
      <c r="B238" s="14"/>
      <c r="C238" s="14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3">
      <c r="A239" s="1"/>
      <c r="B239" s="14"/>
      <c r="C239" s="14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3">
      <c r="A240" s="1"/>
      <c r="B240" s="14"/>
      <c r="C240" s="14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3">
      <c r="A241" s="1"/>
      <c r="B241" s="14"/>
      <c r="C241" s="14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3">
      <c r="A242" s="1"/>
      <c r="B242" s="14"/>
      <c r="C242" s="14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3">
      <c r="A243" s="1"/>
      <c r="B243" s="14"/>
      <c r="C243" s="14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3">
      <c r="A244" s="1"/>
      <c r="B244" s="14"/>
      <c r="C244" s="14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3">
      <c r="A245" s="1"/>
      <c r="B245" s="14"/>
      <c r="C245" s="14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3">
      <c r="A246" s="1"/>
      <c r="B246" s="14"/>
      <c r="C246" s="14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3">
      <c r="A247" s="1"/>
      <c r="B247" s="14"/>
      <c r="C247" s="14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1"/>
      <c r="B248" s="14"/>
      <c r="C248" s="14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1"/>
      <c r="B249" s="14"/>
      <c r="C249" s="14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1"/>
      <c r="B250" s="14"/>
      <c r="C250" s="14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1"/>
      <c r="B251" s="14"/>
      <c r="C251" s="14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1"/>
      <c r="B252" s="14"/>
      <c r="C252" s="14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1"/>
      <c r="B253" s="14"/>
      <c r="C253" s="14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1"/>
      <c r="B254" s="14"/>
      <c r="C254" s="14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1"/>
      <c r="B255" s="14"/>
      <c r="C255" s="1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1"/>
      <c r="B256" s="14"/>
      <c r="C256" s="1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1"/>
      <c r="B257" s="14"/>
      <c r="C257" s="14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1"/>
      <c r="B258" s="14"/>
      <c r="C258" s="14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1"/>
      <c r="B259" s="14"/>
      <c r="C259" s="14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1"/>
      <c r="B260" s="14"/>
      <c r="C260" s="14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1"/>
      <c r="B261" s="14"/>
      <c r="C261" s="14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1"/>
      <c r="B262" s="14"/>
      <c r="C262" s="14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1"/>
      <c r="B263" s="14"/>
      <c r="C263" s="14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1"/>
      <c r="B264" s="14"/>
      <c r="C264" s="14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1"/>
      <c r="B265" s="14"/>
      <c r="C265" s="14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1"/>
      <c r="B266" s="14"/>
      <c r="C266" s="14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1"/>
      <c r="B267" s="14"/>
      <c r="C267" s="14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1"/>
      <c r="B268" s="14"/>
      <c r="C268" s="14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1"/>
      <c r="B269" s="14"/>
      <c r="C269" s="14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1"/>
      <c r="B270" s="14"/>
      <c r="C270" s="14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3">
      <c r="A271" s="1"/>
      <c r="B271" s="14"/>
      <c r="C271" s="14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3">
      <c r="A272" s="1"/>
      <c r="B272" s="14"/>
      <c r="C272" s="14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3">
      <c r="A273" s="1"/>
      <c r="B273" s="14"/>
      <c r="C273" s="1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3">
      <c r="A274" s="1"/>
      <c r="B274" s="14"/>
      <c r="C274" s="14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3">
      <c r="A275" s="1"/>
      <c r="B275" s="14"/>
      <c r="C275" s="14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3">
      <c r="A276" s="1"/>
      <c r="B276" s="14"/>
      <c r="C276" s="14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3">
      <c r="A277" s="1"/>
      <c r="B277" s="14"/>
      <c r="C277" s="14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3">
      <c r="A278" s="1"/>
      <c r="B278" s="14"/>
      <c r="C278" s="14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3">
      <c r="A279" s="1"/>
      <c r="B279" s="14"/>
      <c r="C279" s="1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3">
      <c r="A280" s="1"/>
      <c r="B280" s="14"/>
      <c r="C280" s="1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3">
      <c r="A281" s="1"/>
      <c r="B281" s="14"/>
      <c r="C281" s="1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3">
      <c r="A282" s="1"/>
      <c r="B282" s="14"/>
      <c r="C282" s="1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3">
      <c r="A283" s="1"/>
      <c r="B283" s="14"/>
      <c r="C283" s="1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3">
      <c r="A284" s="1"/>
      <c r="B284" s="14"/>
      <c r="C284" s="1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3">
      <c r="A285" s="1"/>
      <c r="B285" s="14"/>
      <c r="C285" s="1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3">
      <c r="A286" s="1"/>
      <c r="B286" s="14"/>
      <c r="C286" s="1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3">
      <c r="A287" s="1"/>
      <c r="B287" s="14"/>
      <c r="C287" s="1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3">
      <c r="A288" s="1"/>
      <c r="B288" s="14"/>
      <c r="C288" s="1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3">
      <c r="A289" s="1"/>
      <c r="B289" s="14"/>
      <c r="C289" s="1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3">
      <c r="A290" s="1"/>
      <c r="B290" s="14"/>
      <c r="C290" s="1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3">
      <c r="A291" s="1"/>
      <c r="B291" s="14"/>
      <c r="C291" s="1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3">
      <c r="A292" s="1"/>
      <c r="B292" s="14"/>
      <c r="C292" s="1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3">
      <c r="A293" s="1"/>
      <c r="B293" s="14"/>
      <c r="C293" s="1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3">
      <c r="A294" s="1"/>
      <c r="B294" s="14"/>
      <c r="C294" s="1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3">
      <c r="A295" s="1"/>
      <c r="B295" s="14"/>
      <c r="C295" s="1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3">
      <c r="A296" s="1"/>
      <c r="B296" s="14"/>
      <c r="C296" s="1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3">
      <c r="A297" s="1"/>
      <c r="B297" s="14"/>
      <c r="C297" s="1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3">
      <c r="A298" s="1"/>
      <c r="B298" s="14"/>
      <c r="C298" s="14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3">
      <c r="A299" s="1"/>
      <c r="B299" s="14"/>
      <c r="C299" s="14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3">
      <c r="A300" s="1"/>
      <c r="B300" s="14"/>
      <c r="C300" s="14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1"/>
      <c r="B301" s="14"/>
      <c r="C301" s="14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3">
      <c r="A302" s="1"/>
      <c r="B302" s="14"/>
      <c r="C302" s="14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3">
      <c r="A303" s="1"/>
      <c r="B303" s="14"/>
      <c r="C303" s="14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3">
      <c r="A304" s="1"/>
      <c r="B304" s="14"/>
      <c r="C304" s="14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3">
      <c r="A305" s="1"/>
      <c r="B305" s="14"/>
      <c r="C305" s="14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3">
      <c r="A306" s="1"/>
      <c r="B306" s="14"/>
      <c r="C306" s="14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3">
      <c r="A307" s="1"/>
      <c r="B307" s="14"/>
      <c r="C307" s="14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3">
      <c r="A308" s="1"/>
      <c r="B308" s="14"/>
      <c r="C308" s="14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3">
      <c r="A309" s="1"/>
      <c r="B309" s="14"/>
      <c r="C309" s="14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3">
      <c r="A310" s="1"/>
      <c r="B310" s="14"/>
      <c r="C310" s="14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3">
      <c r="A311" s="1"/>
      <c r="B311" s="14"/>
      <c r="C311" s="14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3">
      <c r="A312" s="1"/>
      <c r="B312" s="14"/>
      <c r="C312" s="14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3">
      <c r="A313" s="1"/>
      <c r="B313" s="14"/>
      <c r="C313" s="14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3">
      <c r="A314" s="1"/>
      <c r="B314" s="14"/>
      <c r="C314" s="14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3">
      <c r="A315" s="1"/>
      <c r="B315" s="14"/>
      <c r="C315" s="14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3">
      <c r="A316" s="1"/>
      <c r="B316" s="14"/>
      <c r="C316" s="14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3">
      <c r="A317" s="1"/>
      <c r="B317" s="14"/>
      <c r="C317" s="14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3">
      <c r="A318" s="1"/>
      <c r="B318" s="14"/>
      <c r="C318" s="14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3">
      <c r="A319" s="1"/>
      <c r="B319" s="14"/>
      <c r="C319" s="14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3">
      <c r="A320" s="1"/>
      <c r="B320" s="14"/>
      <c r="C320" s="14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3">
      <c r="A321" s="1"/>
      <c r="B321" s="14"/>
      <c r="C321" s="14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3">
      <c r="A322" s="1"/>
      <c r="B322" s="14"/>
      <c r="C322" s="14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3">
      <c r="A323" s="1"/>
      <c r="B323" s="14"/>
      <c r="C323" s="1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3">
      <c r="A324" s="1"/>
      <c r="B324" s="14"/>
      <c r="C324" s="1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3">
      <c r="A325" s="1"/>
      <c r="B325" s="14"/>
      <c r="C325" s="1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3">
      <c r="A326" s="1"/>
      <c r="B326" s="14"/>
      <c r="C326" s="1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3">
      <c r="A327" s="1"/>
      <c r="B327" s="14"/>
      <c r="C327" s="1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3">
      <c r="A328" s="1"/>
      <c r="B328" s="14"/>
      <c r="C328" s="1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3">
      <c r="A329" s="1"/>
      <c r="B329" s="14"/>
      <c r="C329" s="1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3">
      <c r="A330" s="1"/>
      <c r="B330" s="14"/>
      <c r="C330" s="14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3">
      <c r="A331" s="1"/>
      <c r="B331" s="14"/>
      <c r="C331" s="1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3">
      <c r="A332" s="1"/>
      <c r="B332" s="14"/>
      <c r="C332" s="1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3">
      <c r="A333" s="1"/>
      <c r="B333" s="14"/>
      <c r="C333" s="1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3">
      <c r="A334" s="1"/>
      <c r="B334" s="14"/>
      <c r="C334" s="1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3">
      <c r="A335" s="1"/>
      <c r="B335" s="14"/>
      <c r="C335" s="1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3">
      <c r="A336" s="1"/>
      <c r="B336" s="14"/>
      <c r="C336" s="1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3">
      <c r="A337" s="1"/>
      <c r="B337" s="14"/>
      <c r="C337" s="1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3">
      <c r="A338" s="1"/>
      <c r="B338" s="14"/>
      <c r="C338" s="1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3">
      <c r="A339" s="1"/>
      <c r="B339" s="14"/>
      <c r="C339" s="1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3">
      <c r="A340" s="1"/>
      <c r="B340" s="14"/>
      <c r="C340" s="1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3">
      <c r="A341" s="1"/>
      <c r="B341" s="14"/>
      <c r="C341" s="1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3">
      <c r="A342" s="1"/>
      <c r="B342" s="14"/>
      <c r="C342" s="1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3">
      <c r="A343" s="1"/>
      <c r="B343" s="14"/>
      <c r="C343" s="1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3">
      <c r="A344" s="1"/>
      <c r="B344" s="14"/>
      <c r="C344" s="1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3">
      <c r="A345" s="1"/>
      <c r="B345" s="14"/>
      <c r="C345" s="1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3">
      <c r="A346" s="1"/>
      <c r="B346" s="14"/>
      <c r="C346" s="1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3">
      <c r="A347" s="1"/>
      <c r="B347" s="14"/>
      <c r="C347" s="1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3">
      <c r="A348" s="1"/>
      <c r="B348" s="14"/>
      <c r="C348" s="1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3">
      <c r="A349" s="1"/>
      <c r="B349" s="14"/>
      <c r="C349" s="1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3">
      <c r="A350" s="1"/>
      <c r="B350" s="14"/>
      <c r="C350" s="1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3">
      <c r="A351" s="1"/>
      <c r="B351" s="14"/>
      <c r="C351" s="1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3">
      <c r="A352" s="1"/>
      <c r="B352" s="14"/>
      <c r="C352" s="1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3">
      <c r="A353" s="1"/>
      <c r="B353" s="14"/>
      <c r="C353" s="1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3">
      <c r="A354" s="1"/>
      <c r="B354" s="14"/>
      <c r="C354" s="1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3">
      <c r="A355" s="1"/>
      <c r="B355" s="14"/>
      <c r="C355" s="1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3">
      <c r="A356" s="1"/>
      <c r="B356" s="14"/>
      <c r="C356" s="1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3">
      <c r="A357" s="1"/>
      <c r="B357" s="14"/>
      <c r="C357" s="1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3">
      <c r="A358" s="1"/>
      <c r="B358" s="14"/>
      <c r="C358" s="1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3">
      <c r="A359" s="1"/>
      <c r="B359" s="14"/>
      <c r="C359" s="1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3">
      <c r="A360" s="1"/>
      <c r="B360" s="14"/>
      <c r="C360" s="1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3">
      <c r="A361" s="1"/>
      <c r="B361" s="14"/>
      <c r="C361" s="1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3">
      <c r="A362" s="1"/>
      <c r="B362" s="14"/>
      <c r="C362" s="1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3">
      <c r="A363" s="1"/>
      <c r="B363" s="14"/>
      <c r="C363" s="1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3">
      <c r="A364" s="1"/>
      <c r="B364" s="14"/>
      <c r="C364" s="1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3">
      <c r="A365" s="1"/>
      <c r="B365" s="14"/>
      <c r="C365" s="1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3">
      <c r="A366" s="1"/>
      <c r="B366" s="14"/>
      <c r="C366" s="1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3">
      <c r="A367" s="1"/>
      <c r="B367" s="14"/>
      <c r="C367" s="1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3">
      <c r="A368" s="1"/>
      <c r="B368" s="14"/>
      <c r="C368" s="1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3">
      <c r="A369" s="1"/>
      <c r="B369" s="14"/>
      <c r="C369" s="1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3">
      <c r="A370" s="1"/>
      <c r="B370" s="14"/>
      <c r="C370" s="1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3">
      <c r="A371" s="1"/>
      <c r="B371" s="14"/>
      <c r="C371" s="1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3">
      <c r="A372" s="1"/>
      <c r="B372" s="14"/>
      <c r="C372" s="1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3">
      <c r="A373" s="1"/>
      <c r="B373" s="14"/>
      <c r="C373" s="1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3">
      <c r="A374" s="1"/>
      <c r="B374" s="14"/>
      <c r="C374" s="1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3">
      <c r="A375" s="1"/>
      <c r="B375" s="14"/>
      <c r="C375" s="1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3">
      <c r="A376" s="1"/>
      <c r="B376" s="14"/>
      <c r="C376" s="1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3">
      <c r="A377" s="1"/>
      <c r="B377" s="14"/>
      <c r="C377" s="1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3">
      <c r="A378" s="1"/>
      <c r="B378" s="14"/>
      <c r="C378" s="1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3">
      <c r="A379" s="1"/>
      <c r="B379" s="14"/>
      <c r="C379" s="1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3">
      <c r="A380" s="1"/>
      <c r="B380" s="14"/>
      <c r="C380" s="1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3">
      <c r="A381" s="1"/>
      <c r="B381" s="14"/>
      <c r="C381" s="1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3">
      <c r="A382" s="1"/>
      <c r="B382" s="14"/>
      <c r="C382" s="1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3">
      <c r="A383" s="1"/>
      <c r="B383" s="14"/>
      <c r="C383" s="1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3">
      <c r="A384" s="1"/>
      <c r="B384" s="14"/>
      <c r="C384" s="1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3">
      <c r="A385" s="1"/>
      <c r="B385" s="14"/>
      <c r="C385" s="1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3">
      <c r="A386" s="1"/>
      <c r="B386" s="14"/>
      <c r="C386" s="1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3">
      <c r="A387" s="1"/>
      <c r="B387" s="14"/>
      <c r="C387" s="1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3">
      <c r="A388" s="1"/>
      <c r="B388" s="14"/>
      <c r="C388" s="1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3">
      <c r="A389" s="1"/>
      <c r="B389" s="14"/>
      <c r="C389" s="1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3">
      <c r="A390" s="1"/>
      <c r="B390" s="14"/>
      <c r="C390" s="1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3">
      <c r="A391" s="1"/>
      <c r="B391" s="14"/>
      <c r="C391" s="1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3">
      <c r="A392" s="1"/>
      <c r="B392" s="14"/>
      <c r="C392" s="1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3">
      <c r="A393" s="1"/>
      <c r="B393" s="14"/>
      <c r="C393" s="1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3">
      <c r="A394" s="1"/>
      <c r="B394" s="14"/>
      <c r="C394" s="1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3">
      <c r="A395" s="1"/>
      <c r="B395" s="14"/>
      <c r="C395" s="1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3">
      <c r="A396" s="1"/>
      <c r="B396" s="14"/>
      <c r="C396" s="1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3">
      <c r="A397" s="1"/>
      <c r="B397" s="14"/>
      <c r="C397" s="1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3">
      <c r="A398" s="1"/>
      <c r="B398" s="14"/>
      <c r="C398" s="1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3">
      <c r="A399" s="1"/>
      <c r="B399" s="14"/>
      <c r="C399" s="1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3">
      <c r="A400" s="1"/>
      <c r="B400" s="14"/>
      <c r="C400" s="1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3">
      <c r="A401" s="1"/>
      <c r="B401" s="14"/>
      <c r="C401" s="1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3">
      <c r="A402" s="1"/>
      <c r="B402" s="14"/>
      <c r="C402" s="1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3">
      <c r="A403" s="1"/>
      <c r="B403" s="14"/>
      <c r="C403" s="1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3">
      <c r="A404" s="1"/>
      <c r="B404" s="14"/>
      <c r="C404" s="1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3">
      <c r="A405" s="1"/>
      <c r="B405" s="14"/>
      <c r="C405" s="1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3">
      <c r="A406" s="1"/>
      <c r="B406" s="14"/>
      <c r="C406" s="1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3">
      <c r="A407" s="1"/>
      <c r="B407" s="14"/>
      <c r="C407" s="1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3">
      <c r="A408" s="1"/>
      <c r="B408" s="14"/>
      <c r="C408" s="1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3">
      <c r="A409" s="1"/>
      <c r="B409" s="14"/>
      <c r="C409" s="1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3">
      <c r="A410" s="1"/>
      <c r="B410" s="14"/>
      <c r="C410" s="1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3">
      <c r="A411" s="1"/>
      <c r="B411" s="14"/>
      <c r="C411" s="1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3">
      <c r="A412" s="1"/>
      <c r="B412" s="14"/>
      <c r="C412" s="1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3">
      <c r="A413" s="1"/>
      <c r="B413" s="14"/>
      <c r="C413" s="1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3">
      <c r="A414" s="1"/>
      <c r="B414" s="14"/>
      <c r="C414" s="1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3">
      <c r="A415" s="1"/>
      <c r="B415" s="14"/>
      <c r="C415" s="1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3">
      <c r="A416" s="1"/>
      <c r="B416" s="14"/>
      <c r="C416" s="1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3">
      <c r="A417" s="1"/>
      <c r="B417" s="14"/>
      <c r="C417" s="1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3">
      <c r="A418" s="1"/>
      <c r="B418" s="14"/>
      <c r="C418" s="1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3">
      <c r="A419" s="1"/>
      <c r="B419" s="14"/>
      <c r="C419" s="1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3">
      <c r="A420" s="1"/>
      <c r="B420" s="14"/>
      <c r="C420" s="1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3">
      <c r="A421" s="1"/>
      <c r="B421" s="14"/>
      <c r="C421" s="1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3">
      <c r="A422" s="1"/>
      <c r="B422" s="14"/>
      <c r="C422" s="1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3">
      <c r="A423" s="1"/>
      <c r="B423" s="14"/>
      <c r="C423" s="1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3">
      <c r="A424" s="1"/>
      <c r="B424" s="14"/>
      <c r="C424" s="1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3">
      <c r="A425" s="1"/>
      <c r="B425" s="14"/>
      <c r="C425" s="1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3">
      <c r="A426" s="1"/>
      <c r="B426" s="14"/>
      <c r="C426" s="1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3">
      <c r="A427" s="1"/>
      <c r="B427" s="14"/>
      <c r="C427" s="1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3">
      <c r="A428" s="1"/>
      <c r="B428" s="14"/>
      <c r="C428" s="1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3">
      <c r="A429" s="1"/>
      <c r="B429" s="14"/>
      <c r="C429" s="1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3">
      <c r="A430" s="1"/>
      <c r="B430" s="14"/>
      <c r="C430" s="1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3">
      <c r="A431" s="1"/>
      <c r="B431" s="14"/>
      <c r="C431" s="1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3">
      <c r="A432" s="1"/>
      <c r="B432" s="14"/>
      <c r="C432" s="1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3">
      <c r="A433" s="1"/>
      <c r="B433" s="14"/>
      <c r="C433" s="1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3">
      <c r="A434" s="1"/>
      <c r="B434" s="14"/>
      <c r="C434" s="1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3">
      <c r="A435" s="1"/>
      <c r="B435" s="14"/>
      <c r="C435" s="1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3">
      <c r="A436" s="1"/>
      <c r="B436" s="14"/>
      <c r="C436" s="1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3">
      <c r="A437" s="1"/>
      <c r="B437" s="14"/>
      <c r="C437" s="1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3">
      <c r="A438" s="1"/>
      <c r="B438" s="14"/>
      <c r="C438" s="1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3">
      <c r="A439" s="1"/>
      <c r="B439" s="14"/>
      <c r="C439" s="1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3">
      <c r="A440" s="1"/>
      <c r="B440" s="14"/>
      <c r="C440" s="1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3">
      <c r="A441" s="1"/>
      <c r="B441" s="14"/>
      <c r="C441" s="1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3">
      <c r="A442" s="1"/>
      <c r="B442" s="14"/>
      <c r="C442" s="1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3">
      <c r="A443" s="1"/>
      <c r="B443" s="14"/>
      <c r="C443" s="1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3">
      <c r="A444" s="1"/>
      <c r="B444" s="14"/>
      <c r="C444" s="1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3">
      <c r="A445" s="1"/>
      <c r="B445" s="14"/>
      <c r="C445" s="1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3">
      <c r="A446" s="1"/>
      <c r="B446" s="14"/>
      <c r="C446" s="1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3">
      <c r="A447" s="1"/>
      <c r="B447" s="14"/>
      <c r="C447" s="1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3">
      <c r="A448" s="1"/>
      <c r="B448" s="14"/>
      <c r="C448" s="1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3">
      <c r="A449" s="1"/>
      <c r="B449" s="14"/>
      <c r="C449" s="1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3">
      <c r="A450" s="1"/>
      <c r="B450" s="14"/>
      <c r="C450" s="1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3">
      <c r="A451" s="1"/>
      <c r="B451" s="14"/>
      <c r="C451" s="1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3">
      <c r="A452" s="1"/>
      <c r="B452" s="14"/>
      <c r="C452" s="1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3">
      <c r="A453" s="1"/>
      <c r="B453" s="14"/>
      <c r="C453" s="1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3">
      <c r="A454" s="1"/>
      <c r="B454" s="14"/>
      <c r="C454" s="1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3">
      <c r="A455" s="1"/>
      <c r="B455" s="14"/>
      <c r="C455" s="1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3">
      <c r="A456" s="1"/>
      <c r="B456" s="14"/>
      <c r="C456" s="1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3">
      <c r="A457" s="1"/>
      <c r="B457" s="14"/>
      <c r="C457" s="1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3">
      <c r="A458" s="1"/>
      <c r="B458" s="14"/>
      <c r="C458" s="1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3">
      <c r="A459" s="1"/>
      <c r="B459" s="14"/>
      <c r="C459" s="1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3">
      <c r="A460" s="1"/>
      <c r="B460" s="14"/>
      <c r="C460" s="1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3">
      <c r="A461" s="1"/>
      <c r="B461" s="14"/>
      <c r="C461" s="1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3">
      <c r="A462" s="1"/>
      <c r="B462" s="14"/>
      <c r="C462" s="1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3">
      <c r="A463" s="1"/>
      <c r="B463" s="14"/>
      <c r="C463" s="1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3">
      <c r="A464" s="1"/>
      <c r="B464" s="14"/>
      <c r="C464" s="1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3">
      <c r="A465" s="1"/>
      <c r="B465" s="14"/>
      <c r="C465" s="1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3">
      <c r="A466" s="1"/>
      <c r="B466" s="14"/>
      <c r="C466" s="1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3">
      <c r="A467" s="1"/>
      <c r="B467" s="14"/>
      <c r="C467" s="1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3">
      <c r="A468" s="1"/>
      <c r="B468" s="14"/>
      <c r="C468" s="1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3">
      <c r="A469" s="1"/>
      <c r="B469" s="14"/>
      <c r="C469" s="1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3">
      <c r="A470" s="1"/>
      <c r="B470" s="14"/>
      <c r="C470" s="1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3">
      <c r="A471" s="1"/>
      <c r="B471" s="14"/>
      <c r="C471" s="1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3">
      <c r="A472" s="1"/>
      <c r="B472" s="14"/>
      <c r="C472" s="1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3">
      <c r="A473" s="1"/>
      <c r="B473" s="14"/>
      <c r="C473" s="1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3">
      <c r="A474" s="1"/>
      <c r="B474" s="14"/>
      <c r="C474" s="1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3">
      <c r="A475" s="1"/>
      <c r="B475" s="14"/>
      <c r="C475" s="1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3">
      <c r="A476" s="1"/>
      <c r="B476" s="14"/>
      <c r="C476" s="1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3">
      <c r="A477" s="1"/>
      <c r="B477" s="14"/>
      <c r="C477" s="1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3">
      <c r="A478" s="1"/>
      <c r="B478" s="14"/>
      <c r="C478" s="1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3">
      <c r="A479" s="1"/>
      <c r="B479" s="14"/>
      <c r="C479" s="1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3">
      <c r="A480" s="1"/>
      <c r="B480" s="14"/>
      <c r="C480" s="1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3">
      <c r="A481" s="1"/>
      <c r="B481" s="14"/>
      <c r="C481" s="1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3">
      <c r="A482" s="1"/>
      <c r="B482" s="14"/>
      <c r="C482" s="1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3">
      <c r="A483" s="1"/>
      <c r="B483" s="14"/>
      <c r="C483" s="1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3">
      <c r="A484" s="1"/>
      <c r="B484" s="14"/>
      <c r="C484" s="1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3">
      <c r="A485" s="1"/>
      <c r="B485" s="14"/>
      <c r="C485" s="1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3">
      <c r="A486" s="1"/>
      <c r="B486" s="14"/>
      <c r="C486" s="1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3">
      <c r="A487" s="1"/>
      <c r="B487" s="14"/>
      <c r="C487" s="1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3">
      <c r="A488" s="1"/>
      <c r="B488" s="14"/>
      <c r="C488" s="1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3">
      <c r="A489" s="1"/>
      <c r="B489" s="14"/>
      <c r="C489" s="1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3">
      <c r="A490" s="1"/>
      <c r="B490" s="14"/>
      <c r="C490" s="1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3">
      <c r="A491" s="1"/>
      <c r="B491" s="14"/>
      <c r="C491" s="1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3">
      <c r="A492" s="1"/>
      <c r="B492" s="14"/>
      <c r="C492" s="1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3">
      <c r="A493" s="1"/>
      <c r="B493" s="14"/>
      <c r="C493" s="1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3">
      <c r="A494" s="1"/>
      <c r="B494" s="14"/>
      <c r="C494" s="1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3">
      <c r="A495" s="1"/>
      <c r="B495" s="14"/>
      <c r="C495" s="1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3">
      <c r="A496" s="1"/>
      <c r="B496" s="14"/>
      <c r="C496" s="1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3">
      <c r="A497" s="1"/>
      <c r="B497" s="14"/>
      <c r="C497" s="1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3">
      <c r="A498" s="1"/>
      <c r="B498" s="14"/>
      <c r="C498" s="1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3">
      <c r="A499" s="1"/>
      <c r="B499" s="14"/>
      <c r="C499" s="1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3">
      <c r="A500" s="1"/>
      <c r="B500" s="14"/>
      <c r="C500" s="1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3">
      <c r="A501" s="1"/>
      <c r="B501" s="14"/>
      <c r="C501" s="1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3">
      <c r="A502" s="1"/>
      <c r="B502" s="14"/>
      <c r="C502" s="1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3">
      <c r="A503" s="1"/>
      <c r="B503" s="14"/>
      <c r="C503" s="1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3">
      <c r="A504" s="1"/>
      <c r="B504" s="14"/>
      <c r="C504" s="1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3">
      <c r="A505" s="1"/>
      <c r="B505" s="14"/>
      <c r="C505" s="1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3">
      <c r="A506" s="1"/>
      <c r="B506" s="14"/>
      <c r="C506" s="1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3">
      <c r="A507" s="1"/>
      <c r="B507" s="14"/>
      <c r="C507" s="1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3">
      <c r="A508" s="1"/>
      <c r="B508" s="14"/>
      <c r="C508" s="1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3">
      <c r="A509" s="1"/>
      <c r="B509" s="14"/>
      <c r="C509" s="1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3">
      <c r="A510" s="1"/>
      <c r="B510" s="14"/>
      <c r="C510" s="1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3">
      <c r="A511" s="1"/>
      <c r="B511" s="14"/>
      <c r="C511" s="1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3">
      <c r="A512" s="1"/>
      <c r="B512" s="14"/>
      <c r="C512" s="1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3">
      <c r="A513" s="1"/>
      <c r="B513" s="14"/>
      <c r="C513" s="1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3">
      <c r="A514" s="1"/>
      <c r="B514" s="14"/>
      <c r="C514" s="1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3">
      <c r="A515" s="1"/>
      <c r="B515" s="14"/>
      <c r="C515" s="1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3">
      <c r="A516" s="1"/>
      <c r="B516" s="14"/>
      <c r="C516" s="1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3">
      <c r="A517" s="1"/>
      <c r="B517" s="14"/>
      <c r="C517" s="1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3">
      <c r="A518" s="1"/>
      <c r="B518" s="14"/>
      <c r="C518" s="1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3">
      <c r="A519" s="1"/>
      <c r="B519" s="14"/>
      <c r="C519" s="1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3">
      <c r="A520" s="1"/>
      <c r="B520" s="14"/>
      <c r="C520" s="1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3">
      <c r="A521" s="1"/>
      <c r="B521" s="14"/>
      <c r="C521" s="1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3">
      <c r="A522" s="1"/>
      <c r="B522" s="14"/>
      <c r="C522" s="1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3">
      <c r="A523" s="1"/>
      <c r="B523" s="14"/>
      <c r="C523" s="1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3">
      <c r="A524" s="1"/>
      <c r="B524" s="14"/>
      <c r="C524" s="1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3">
      <c r="A525" s="1"/>
      <c r="B525" s="14"/>
      <c r="C525" s="1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3">
      <c r="A526" s="1"/>
      <c r="B526" s="14"/>
      <c r="C526" s="1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3">
      <c r="A527" s="1"/>
      <c r="B527" s="14"/>
      <c r="C527" s="1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3">
      <c r="A528" s="1"/>
      <c r="B528" s="14"/>
      <c r="C528" s="1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3">
      <c r="A529" s="1"/>
      <c r="B529" s="14"/>
      <c r="C529" s="1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3">
      <c r="A530" s="1"/>
      <c r="B530" s="14"/>
      <c r="C530" s="1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3">
      <c r="A531" s="1"/>
      <c r="B531" s="14"/>
      <c r="C531" s="1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3">
      <c r="A532" s="1"/>
      <c r="B532" s="14"/>
      <c r="C532" s="1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3">
      <c r="A533" s="1"/>
      <c r="B533" s="14"/>
      <c r="C533" s="1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3">
      <c r="A534" s="1"/>
      <c r="B534" s="14"/>
      <c r="C534" s="1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3">
      <c r="A535" s="1"/>
      <c r="B535" s="14"/>
      <c r="C535" s="1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3">
      <c r="A536" s="1"/>
      <c r="B536" s="14"/>
      <c r="C536" s="1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3">
      <c r="A537" s="1"/>
      <c r="B537" s="14"/>
      <c r="C537" s="1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3">
      <c r="A538" s="1"/>
      <c r="B538" s="14"/>
      <c r="C538" s="1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3">
      <c r="A539" s="1"/>
      <c r="B539" s="14"/>
      <c r="C539" s="1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3">
      <c r="A540" s="1"/>
      <c r="B540" s="14"/>
      <c r="C540" s="1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3">
      <c r="A541" s="1"/>
      <c r="B541" s="14"/>
      <c r="C541" s="1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3">
      <c r="A542" s="1"/>
      <c r="B542" s="14"/>
      <c r="C542" s="1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3">
      <c r="A543" s="1"/>
      <c r="B543" s="14"/>
      <c r="C543" s="1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3">
      <c r="A544" s="1"/>
      <c r="B544" s="14"/>
      <c r="C544" s="1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3">
      <c r="A545" s="1"/>
      <c r="B545" s="14"/>
      <c r="C545" s="1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3">
      <c r="A546" s="1"/>
      <c r="B546" s="14"/>
      <c r="C546" s="1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3">
      <c r="A547" s="1"/>
      <c r="B547" s="14"/>
      <c r="C547" s="1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3">
      <c r="A548" s="1"/>
      <c r="B548" s="14"/>
      <c r="C548" s="1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3">
      <c r="A549" s="1"/>
      <c r="B549" s="14"/>
      <c r="C549" s="1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3">
      <c r="A550" s="1"/>
      <c r="B550" s="14"/>
      <c r="C550" s="1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3">
      <c r="A551" s="1"/>
      <c r="B551" s="14"/>
      <c r="C551" s="1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3">
      <c r="A552" s="1"/>
      <c r="B552" s="14"/>
      <c r="C552" s="1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3">
      <c r="A553" s="1"/>
      <c r="B553" s="14"/>
      <c r="C553" s="1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3">
      <c r="A554" s="1"/>
      <c r="B554" s="14"/>
      <c r="C554" s="1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3">
      <c r="A555" s="1"/>
      <c r="B555" s="14"/>
      <c r="C555" s="1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3">
      <c r="A556" s="1"/>
      <c r="B556" s="14"/>
      <c r="C556" s="1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3">
      <c r="A557" s="1"/>
      <c r="B557" s="14"/>
      <c r="C557" s="1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3">
      <c r="A558" s="1"/>
      <c r="B558" s="14"/>
      <c r="C558" s="1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3">
      <c r="A559" s="1"/>
      <c r="B559" s="14"/>
      <c r="C559" s="1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3">
      <c r="A560" s="1"/>
      <c r="B560" s="14"/>
      <c r="C560" s="1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3">
      <c r="A561" s="1"/>
      <c r="B561" s="14"/>
      <c r="C561" s="1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3">
      <c r="A562" s="1"/>
      <c r="B562" s="14"/>
      <c r="C562" s="1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3">
      <c r="A563" s="1"/>
      <c r="B563" s="14"/>
      <c r="C563" s="1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3">
      <c r="A564" s="1"/>
      <c r="B564" s="14"/>
      <c r="C564" s="1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3">
      <c r="A565" s="1"/>
      <c r="B565" s="14"/>
      <c r="C565" s="1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3">
      <c r="A566" s="1"/>
      <c r="B566" s="14"/>
      <c r="C566" s="1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3">
      <c r="A567" s="1"/>
      <c r="B567" s="14"/>
      <c r="C567" s="1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3">
      <c r="A568" s="1"/>
      <c r="B568" s="14"/>
      <c r="C568" s="1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3">
      <c r="A569" s="1"/>
      <c r="B569" s="14"/>
      <c r="C569" s="1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3">
      <c r="A570" s="1"/>
      <c r="B570" s="14"/>
      <c r="C570" s="1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3">
      <c r="A571" s="1"/>
      <c r="B571" s="14"/>
      <c r="C571" s="1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3">
      <c r="A572" s="1"/>
      <c r="B572" s="14"/>
      <c r="C572" s="1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3">
      <c r="A573" s="1"/>
      <c r="B573" s="14"/>
      <c r="C573" s="1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3">
      <c r="A574" s="1"/>
      <c r="B574" s="14"/>
      <c r="C574" s="1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3">
      <c r="A575" s="1"/>
      <c r="B575" s="14"/>
      <c r="C575" s="1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3">
      <c r="A576" s="1"/>
      <c r="B576" s="14"/>
      <c r="C576" s="1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3">
      <c r="A577" s="1"/>
      <c r="B577" s="14"/>
      <c r="C577" s="1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3">
      <c r="A578" s="1"/>
      <c r="B578" s="14"/>
      <c r="C578" s="1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3">
      <c r="A579" s="1"/>
      <c r="B579" s="14"/>
      <c r="C579" s="1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3">
      <c r="A580" s="1"/>
      <c r="B580" s="14"/>
      <c r="C580" s="1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3">
      <c r="A581" s="1"/>
      <c r="B581" s="14"/>
      <c r="C581" s="1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3">
      <c r="A582" s="1"/>
      <c r="B582" s="14"/>
      <c r="C582" s="1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3">
      <c r="A583" s="1"/>
      <c r="B583" s="14"/>
      <c r="C583" s="1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3">
      <c r="A584" s="1"/>
      <c r="B584" s="14"/>
      <c r="C584" s="1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3">
      <c r="A585" s="1"/>
      <c r="B585" s="14"/>
      <c r="C585" s="1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3">
      <c r="A586" s="1"/>
      <c r="B586" s="14"/>
      <c r="C586" s="1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3">
      <c r="A587" s="1"/>
      <c r="B587" s="14"/>
      <c r="C587" s="1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3">
      <c r="A588" s="1"/>
      <c r="B588" s="14"/>
      <c r="C588" s="1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3">
      <c r="A589" s="1"/>
      <c r="B589" s="14"/>
      <c r="C589" s="1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3">
      <c r="A590" s="1"/>
      <c r="B590" s="14"/>
      <c r="C590" s="1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3">
      <c r="A591" s="1"/>
      <c r="B591" s="14"/>
      <c r="C591" s="1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3">
      <c r="A592" s="1"/>
      <c r="B592" s="14"/>
      <c r="C592" s="1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3">
      <c r="A593" s="1"/>
      <c r="B593" s="14"/>
      <c r="C593" s="1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3">
      <c r="A594" s="1"/>
      <c r="B594" s="14"/>
      <c r="C594" s="1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3">
      <c r="A595" s="1"/>
      <c r="B595" s="14"/>
      <c r="C595" s="1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3">
      <c r="A596" s="1"/>
      <c r="B596" s="14"/>
      <c r="C596" s="1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3">
      <c r="A597" s="1"/>
      <c r="B597" s="14"/>
      <c r="C597" s="1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3">
      <c r="A598" s="1"/>
      <c r="B598" s="14"/>
      <c r="C598" s="1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3">
      <c r="A599" s="1"/>
      <c r="B599" s="14"/>
      <c r="C599" s="1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3">
      <c r="A600" s="1"/>
      <c r="B600" s="14"/>
      <c r="C600" s="1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3">
      <c r="A601" s="1"/>
      <c r="B601" s="14"/>
      <c r="C601" s="1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3">
      <c r="A602" s="1"/>
      <c r="B602" s="14"/>
      <c r="C602" s="1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3">
      <c r="A603" s="1"/>
      <c r="B603" s="14"/>
      <c r="C603" s="1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3">
      <c r="A604" s="1"/>
      <c r="B604" s="14"/>
      <c r="C604" s="1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3">
      <c r="A605" s="1"/>
      <c r="B605" s="14"/>
      <c r="C605" s="1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3">
      <c r="A606" s="1"/>
      <c r="B606" s="14"/>
      <c r="C606" s="1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3">
      <c r="A607" s="1"/>
      <c r="B607" s="14"/>
      <c r="C607" s="1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3">
      <c r="A608" s="1"/>
      <c r="B608" s="14"/>
      <c r="C608" s="1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3">
      <c r="A609" s="1"/>
      <c r="B609" s="14"/>
      <c r="C609" s="1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3">
      <c r="A610" s="1"/>
      <c r="B610" s="14"/>
      <c r="C610" s="1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3">
      <c r="A611" s="1"/>
      <c r="B611" s="14"/>
      <c r="C611" s="1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3">
      <c r="A612" s="1"/>
      <c r="B612" s="14"/>
      <c r="C612" s="1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3">
      <c r="A613" s="1"/>
      <c r="B613" s="14"/>
      <c r="C613" s="1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3">
      <c r="A614" s="1"/>
      <c r="B614" s="14"/>
      <c r="C614" s="1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3">
      <c r="A615" s="1"/>
      <c r="B615" s="14"/>
      <c r="C615" s="1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3">
      <c r="A616" s="1"/>
      <c r="B616" s="14"/>
      <c r="C616" s="1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3">
      <c r="A617" s="1"/>
      <c r="B617" s="14"/>
      <c r="C617" s="1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3">
      <c r="A618" s="1"/>
      <c r="B618" s="14"/>
      <c r="C618" s="1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3">
      <c r="A619" s="1"/>
      <c r="B619" s="14"/>
      <c r="C619" s="1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3">
      <c r="A620" s="1"/>
      <c r="B620" s="14"/>
      <c r="C620" s="1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3">
      <c r="A621" s="1"/>
      <c r="B621" s="14"/>
      <c r="C621" s="1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3">
      <c r="A622" s="1"/>
      <c r="B622" s="14"/>
      <c r="C622" s="1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3">
      <c r="A623" s="1"/>
      <c r="B623" s="14"/>
      <c r="C623" s="1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3">
      <c r="A624" s="1"/>
      <c r="B624" s="14"/>
      <c r="C624" s="1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3">
      <c r="A625" s="1"/>
      <c r="B625" s="14"/>
      <c r="C625" s="1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3">
      <c r="A626" s="1"/>
      <c r="B626" s="14"/>
      <c r="C626" s="1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3">
      <c r="A627" s="1"/>
      <c r="B627" s="14"/>
      <c r="C627" s="1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3">
      <c r="A628" s="1"/>
      <c r="B628" s="14"/>
      <c r="C628" s="1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3">
      <c r="A629" s="1"/>
      <c r="B629" s="14"/>
      <c r="C629" s="1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3">
      <c r="A630" s="1"/>
      <c r="B630" s="14"/>
      <c r="C630" s="1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3">
      <c r="A631" s="1"/>
      <c r="B631" s="14"/>
      <c r="C631" s="1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3">
      <c r="A632" s="1"/>
      <c r="B632" s="14"/>
      <c r="C632" s="1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3">
      <c r="A633" s="1"/>
      <c r="B633" s="14"/>
      <c r="C633" s="1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3">
      <c r="A634" s="1"/>
      <c r="B634" s="14"/>
      <c r="C634" s="1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3">
      <c r="A635" s="1"/>
      <c r="B635" s="14"/>
      <c r="C635" s="1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3">
      <c r="A636" s="1"/>
      <c r="B636" s="14"/>
      <c r="C636" s="1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3">
      <c r="A637" s="1"/>
      <c r="B637" s="14"/>
      <c r="C637" s="1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3">
      <c r="A638" s="1"/>
      <c r="B638" s="14"/>
      <c r="C638" s="1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3">
      <c r="A639" s="1"/>
      <c r="B639" s="14"/>
      <c r="C639" s="1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3">
      <c r="A640" s="1"/>
      <c r="B640" s="14"/>
      <c r="C640" s="1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3">
      <c r="A641" s="1"/>
      <c r="B641" s="14"/>
      <c r="C641" s="1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3">
      <c r="A642" s="1"/>
      <c r="B642" s="14"/>
      <c r="C642" s="1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3">
      <c r="A643" s="1"/>
      <c r="B643" s="14"/>
      <c r="C643" s="1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3">
      <c r="A644" s="1"/>
      <c r="B644" s="14"/>
      <c r="C644" s="1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3">
      <c r="A645" s="1"/>
      <c r="B645" s="14"/>
      <c r="C645" s="1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3">
      <c r="A646" s="1"/>
      <c r="B646" s="14"/>
      <c r="C646" s="1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3">
      <c r="A647" s="1"/>
      <c r="B647" s="14"/>
      <c r="C647" s="1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3">
      <c r="A648" s="1"/>
      <c r="B648" s="14"/>
      <c r="C648" s="1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3">
      <c r="A649" s="1"/>
      <c r="B649" s="14"/>
      <c r="C649" s="1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3">
      <c r="A650" s="1"/>
      <c r="B650" s="14"/>
      <c r="C650" s="1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3">
      <c r="A651" s="1"/>
      <c r="B651" s="14"/>
      <c r="C651" s="1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3">
      <c r="A652" s="1"/>
      <c r="B652" s="14"/>
      <c r="C652" s="1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3">
      <c r="A653" s="1"/>
      <c r="B653" s="14"/>
      <c r="C653" s="1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3">
      <c r="A654" s="1"/>
      <c r="B654" s="14"/>
      <c r="C654" s="1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3">
      <c r="A655" s="1"/>
      <c r="B655" s="14"/>
      <c r="C655" s="1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3">
      <c r="A656" s="1"/>
      <c r="B656" s="14"/>
      <c r="C656" s="1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3">
      <c r="A657" s="1"/>
      <c r="B657" s="14"/>
      <c r="C657" s="1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3">
      <c r="A658" s="1"/>
      <c r="B658" s="14"/>
      <c r="C658" s="1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3">
      <c r="A659" s="1"/>
      <c r="B659" s="14"/>
      <c r="C659" s="1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3">
      <c r="A660" s="1"/>
      <c r="B660" s="14"/>
      <c r="C660" s="1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3">
      <c r="A661" s="1"/>
      <c r="B661" s="14"/>
      <c r="C661" s="1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3">
      <c r="A662" s="1"/>
      <c r="B662" s="14"/>
      <c r="C662" s="1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3">
      <c r="A663" s="1"/>
      <c r="B663" s="14"/>
      <c r="C663" s="1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3">
      <c r="A664" s="1"/>
      <c r="B664" s="14"/>
      <c r="C664" s="1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3">
      <c r="A665" s="1"/>
      <c r="B665" s="14"/>
      <c r="C665" s="1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3">
      <c r="A666" s="1"/>
      <c r="B666" s="14"/>
      <c r="C666" s="1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3">
      <c r="A667" s="1"/>
      <c r="B667" s="14"/>
      <c r="C667" s="1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3">
      <c r="A668" s="1"/>
      <c r="B668" s="14"/>
      <c r="C668" s="1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3">
      <c r="A669" s="1"/>
      <c r="B669" s="14"/>
      <c r="C669" s="1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3">
      <c r="A670" s="1"/>
      <c r="B670" s="14"/>
      <c r="C670" s="1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3">
      <c r="A671" s="1"/>
      <c r="B671" s="14"/>
      <c r="C671" s="1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3">
      <c r="A672" s="1"/>
      <c r="B672" s="14"/>
      <c r="C672" s="1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3">
      <c r="A673" s="1"/>
      <c r="B673" s="14"/>
      <c r="C673" s="1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3">
      <c r="A674" s="1"/>
      <c r="B674" s="14"/>
      <c r="C674" s="1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3">
      <c r="A675" s="1"/>
      <c r="B675" s="14"/>
      <c r="C675" s="1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3">
      <c r="A676" s="1"/>
      <c r="B676" s="14"/>
      <c r="C676" s="1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3">
      <c r="A677" s="1"/>
      <c r="B677" s="14"/>
      <c r="C677" s="1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3">
      <c r="A678" s="1"/>
      <c r="B678" s="14"/>
      <c r="C678" s="1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3">
      <c r="A679" s="1"/>
      <c r="B679" s="14"/>
      <c r="C679" s="1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3">
      <c r="A680" s="1"/>
      <c r="B680" s="14"/>
      <c r="C680" s="1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3">
      <c r="A681" s="1"/>
      <c r="B681" s="14"/>
      <c r="C681" s="1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3">
      <c r="A682" s="1"/>
      <c r="B682" s="14"/>
      <c r="C682" s="1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3">
      <c r="A683" s="1"/>
      <c r="B683" s="14"/>
      <c r="C683" s="1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3">
      <c r="A684" s="1"/>
      <c r="B684" s="14"/>
      <c r="C684" s="1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3">
      <c r="A685" s="1"/>
      <c r="B685" s="14"/>
      <c r="C685" s="1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3">
      <c r="A686" s="1"/>
      <c r="B686" s="14"/>
      <c r="C686" s="1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3">
      <c r="A687" s="1"/>
      <c r="B687" s="14"/>
      <c r="C687" s="1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3">
      <c r="A688" s="1"/>
      <c r="B688" s="14"/>
      <c r="C688" s="1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3">
      <c r="A689" s="1"/>
      <c r="B689" s="14"/>
      <c r="C689" s="1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3">
      <c r="A690" s="1"/>
      <c r="B690" s="14"/>
      <c r="C690" s="1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3">
      <c r="A691" s="1"/>
      <c r="B691" s="14"/>
      <c r="C691" s="1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3">
      <c r="A692" s="1"/>
      <c r="B692" s="14"/>
      <c r="C692" s="1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3">
      <c r="A693" s="1"/>
      <c r="B693" s="14"/>
      <c r="C693" s="1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3">
      <c r="A694" s="1"/>
      <c r="B694" s="14"/>
      <c r="C694" s="1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3">
      <c r="A695" s="1"/>
      <c r="B695" s="14"/>
      <c r="C695" s="1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3">
      <c r="A696" s="1"/>
      <c r="B696" s="14"/>
      <c r="C696" s="1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3">
      <c r="A697" s="1"/>
      <c r="B697" s="14"/>
      <c r="C697" s="1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3">
      <c r="A698" s="1"/>
      <c r="B698" s="14"/>
      <c r="C698" s="1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3">
      <c r="A699" s="1"/>
      <c r="B699" s="14"/>
      <c r="C699" s="1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3">
      <c r="A700" s="1"/>
      <c r="B700" s="14"/>
      <c r="C700" s="1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3">
      <c r="A701" s="1"/>
      <c r="B701" s="14"/>
      <c r="C701" s="1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3">
      <c r="A702" s="1"/>
      <c r="B702" s="14"/>
      <c r="C702" s="1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3">
      <c r="A703" s="1"/>
      <c r="B703" s="14"/>
      <c r="C703" s="1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3">
      <c r="A704" s="1"/>
      <c r="B704" s="14"/>
      <c r="C704" s="1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3">
      <c r="A705" s="1"/>
      <c r="B705" s="14"/>
      <c r="C705" s="1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3">
      <c r="A706" s="1"/>
      <c r="B706" s="14"/>
      <c r="C706" s="1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3">
      <c r="A707" s="1"/>
      <c r="B707" s="14"/>
      <c r="C707" s="1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3">
      <c r="A708" s="1"/>
      <c r="B708" s="14"/>
      <c r="C708" s="1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3">
      <c r="A709" s="1"/>
      <c r="B709" s="14"/>
      <c r="C709" s="1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3">
      <c r="A710" s="1"/>
      <c r="B710" s="14"/>
      <c r="C710" s="1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3">
      <c r="A711" s="1"/>
      <c r="B711" s="14"/>
      <c r="C711" s="1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3">
      <c r="A712" s="1"/>
      <c r="B712" s="14"/>
      <c r="C712" s="1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3">
      <c r="A713" s="1"/>
      <c r="B713" s="14"/>
      <c r="C713" s="1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3">
      <c r="A714" s="1"/>
      <c r="B714" s="14"/>
      <c r="C714" s="1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3">
      <c r="A715" s="1"/>
      <c r="B715" s="14"/>
      <c r="C715" s="1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3">
      <c r="A716" s="1"/>
      <c r="B716" s="14"/>
      <c r="C716" s="1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3">
      <c r="A717" s="1"/>
      <c r="B717" s="14"/>
      <c r="C717" s="1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3">
      <c r="A718" s="1"/>
      <c r="B718" s="14"/>
      <c r="C718" s="1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3">
      <c r="A719" s="1"/>
      <c r="B719" s="14"/>
      <c r="C719" s="1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3">
      <c r="A720" s="1"/>
      <c r="B720" s="14"/>
      <c r="C720" s="1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3">
      <c r="A721" s="1"/>
      <c r="B721" s="14"/>
      <c r="C721" s="1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3">
      <c r="A722" s="1"/>
      <c r="B722" s="14"/>
      <c r="C722" s="1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3">
      <c r="A723" s="1"/>
      <c r="B723" s="14"/>
      <c r="C723" s="1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3">
      <c r="A724" s="1"/>
      <c r="B724" s="14"/>
      <c r="C724" s="1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3">
      <c r="A725" s="1"/>
      <c r="B725" s="14"/>
      <c r="C725" s="1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3">
      <c r="A726" s="1"/>
      <c r="B726" s="14"/>
      <c r="C726" s="1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3">
      <c r="A727" s="1"/>
      <c r="B727" s="14"/>
      <c r="C727" s="1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3">
      <c r="A728" s="1"/>
      <c r="B728" s="14"/>
      <c r="C728" s="1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3">
      <c r="A729" s="1"/>
      <c r="B729" s="14"/>
      <c r="C729" s="1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3">
      <c r="A730" s="1"/>
      <c r="B730" s="14"/>
      <c r="C730" s="1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3">
      <c r="A731" s="1"/>
      <c r="B731" s="14"/>
      <c r="C731" s="1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3">
      <c r="A732" s="1"/>
      <c r="B732" s="14"/>
      <c r="C732" s="1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3">
      <c r="A733" s="1"/>
      <c r="B733" s="14"/>
      <c r="C733" s="1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3">
      <c r="A734" s="1"/>
      <c r="B734" s="14"/>
      <c r="C734" s="1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3">
      <c r="A735" s="1"/>
      <c r="B735" s="14"/>
      <c r="C735" s="1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3">
      <c r="A736" s="1"/>
      <c r="B736" s="14"/>
      <c r="C736" s="1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3">
      <c r="A737" s="1"/>
      <c r="B737" s="14"/>
      <c r="C737" s="1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3">
      <c r="A738" s="1"/>
      <c r="B738" s="14"/>
      <c r="C738" s="1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3">
      <c r="A739" s="1"/>
      <c r="B739" s="14"/>
      <c r="C739" s="1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3">
      <c r="A740" s="1"/>
      <c r="B740" s="14"/>
      <c r="C740" s="1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3">
      <c r="A741" s="1"/>
      <c r="B741" s="14"/>
      <c r="C741" s="1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3">
      <c r="A742" s="1"/>
      <c r="B742" s="14"/>
      <c r="C742" s="1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3">
      <c r="A743" s="1"/>
      <c r="B743" s="14"/>
      <c r="C743" s="1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3">
      <c r="A744" s="1"/>
      <c r="B744" s="14"/>
      <c r="C744" s="1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3">
      <c r="A745" s="1"/>
      <c r="B745" s="14"/>
      <c r="C745" s="1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3">
      <c r="A746" s="1"/>
      <c r="B746" s="14"/>
      <c r="C746" s="1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3">
      <c r="A747" s="1"/>
      <c r="B747" s="14"/>
      <c r="C747" s="1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3">
      <c r="A748" s="1"/>
      <c r="B748" s="14"/>
      <c r="C748" s="1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3">
      <c r="A749" s="1"/>
      <c r="B749" s="14"/>
      <c r="C749" s="1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3">
      <c r="A750" s="1"/>
      <c r="B750" s="14"/>
      <c r="C750" s="1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3">
      <c r="A751" s="1"/>
      <c r="B751" s="14"/>
      <c r="C751" s="1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3">
      <c r="A752" s="1"/>
      <c r="B752" s="14"/>
      <c r="C752" s="1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3">
      <c r="A753" s="1"/>
      <c r="B753" s="14"/>
      <c r="C753" s="1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3">
      <c r="A754" s="1"/>
      <c r="B754" s="14"/>
      <c r="C754" s="1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3">
      <c r="A755" s="1"/>
      <c r="B755" s="14"/>
      <c r="C755" s="1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3">
      <c r="A756" s="1"/>
      <c r="B756" s="14"/>
      <c r="C756" s="1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3">
      <c r="A757" s="1"/>
      <c r="B757" s="14"/>
      <c r="C757" s="1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3">
      <c r="A758" s="1"/>
      <c r="B758" s="14"/>
      <c r="C758" s="1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3">
      <c r="A759" s="1"/>
      <c r="B759" s="14"/>
      <c r="C759" s="1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3">
      <c r="A760" s="1"/>
      <c r="B760" s="14"/>
      <c r="C760" s="1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3">
      <c r="A761" s="1"/>
      <c r="B761" s="14"/>
      <c r="C761" s="1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3">
      <c r="A762" s="1"/>
      <c r="B762" s="14"/>
      <c r="C762" s="1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3">
      <c r="A763" s="1"/>
      <c r="B763" s="14"/>
      <c r="C763" s="1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3">
      <c r="A764" s="1"/>
      <c r="B764" s="14"/>
      <c r="C764" s="1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3">
      <c r="A765" s="1"/>
      <c r="B765" s="14"/>
      <c r="C765" s="1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3">
      <c r="A766" s="1"/>
      <c r="B766" s="14"/>
      <c r="C766" s="1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3">
      <c r="A767" s="1"/>
      <c r="B767" s="14"/>
      <c r="C767" s="1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3">
      <c r="A768" s="1"/>
      <c r="B768" s="14"/>
      <c r="C768" s="1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3">
      <c r="A769" s="1"/>
      <c r="B769" s="14"/>
      <c r="C769" s="1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3">
      <c r="A770" s="1"/>
      <c r="B770" s="14"/>
      <c r="C770" s="1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3">
      <c r="A771" s="1"/>
      <c r="B771" s="14"/>
      <c r="C771" s="1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3">
      <c r="A772" s="1"/>
      <c r="B772" s="14"/>
      <c r="C772" s="1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3">
      <c r="A773" s="1"/>
      <c r="B773" s="14"/>
      <c r="C773" s="1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3">
      <c r="A774" s="1"/>
      <c r="B774" s="14"/>
      <c r="C774" s="1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3">
      <c r="A775" s="1"/>
      <c r="B775" s="14"/>
      <c r="C775" s="1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3">
      <c r="A776" s="1"/>
      <c r="B776" s="14"/>
      <c r="C776" s="1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3">
      <c r="A777" s="1"/>
      <c r="B777" s="14"/>
      <c r="C777" s="1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3">
      <c r="A778" s="1"/>
      <c r="B778" s="14"/>
      <c r="C778" s="1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3">
      <c r="A779" s="1"/>
      <c r="B779" s="14"/>
      <c r="C779" s="1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3">
      <c r="A780" s="1"/>
      <c r="B780" s="14"/>
      <c r="C780" s="1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3">
      <c r="A781" s="1"/>
      <c r="B781" s="14"/>
      <c r="C781" s="1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3">
      <c r="A782" s="1"/>
      <c r="B782" s="14"/>
      <c r="C782" s="1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3">
      <c r="A783" s="1"/>
      <c r="B783" s="14"/>
      <c r="C783" s="1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3">
      <c r="A784" s="1"/>
      <c r="B784" s="14"/>
      <c r="C784" s="1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3">
      <c r="A785" s="1"/>
      <c r="B785" s="14"/>
      <c r="C785" s="1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3">
      <c r="A786" s="1"/>
      <c r="B786" s="14"/>
      <c r="C786" s="1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3">
      <c r="A787" s="1"/>
      <c r="B787" s="14"/>
      <c r="C787" s="1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3">
      <c r="A788" s="1"/>
      <c r="B788" s="14"/>
      <c r="C788" s="1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3">
      <c r="A789" s="1"/>
      <c r="B789" s="14"/>
      <c r="C789" s="1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3">
      <c r="A790" s="1"/>
      <c r="B790" s="14"/>
      <c r="C790" s="1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3">
      <c r="A791" s="1"/>
      <c r="B791" s="14"/>
      <c r="C791" s="1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3">
      <c r="A792" s="1"/>
      <c r="B792" s="14"/>
      <c r="C792" s="1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3">
      <c r="A793" s="1"/>
      <c r="B793" s="14"/>
      <c r="C793" s="1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3">
      <c r="A794" s="1"/>
      <c r="B794" s="14"/>
      <c r="C794" s="1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3">
      <c r="A795" s="1"/>
      <c r="B795" s="14"/>
      <c r="C795" s="1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3">
      <c r="A796" s="1"/>
      <c r="B796" s="14"/>
      <c r="C796" s="1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3">
      <c r="A797" s="1"/>
      <c r="B797" s="14"/>
      <c r="C797" s="1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3">
      <c r="A798" s="1"/>
      <c r="B798" s="14"/>
      <c r="C798" s="1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3">
      <c r="A799" s="1"/>
      <c r="B799" s="14"/>
      <c r="C799" s="1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3">
      <c r="A800" s="1"/>
      <c r="B800" s="14"/>
      <c r="C800" s="1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3">
      <c r="A801" s="1"/>
      <c r="B801" s="14"/>
      <c r="C801" s="1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3">
      <c r="A802" s="1"/>
      <c r="B802" s="14"/>
      <c r="C802" s="1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3">
      <c r="A803" s="1"/>
      <c r="B803" s="14"/>
      <c r="C803" s="1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3">
      <c r="A804" s="1"/>
      <c r="B804" s="14"/>
      <c r="C804" s="1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3">
      <c r="A805" s="1"/>
      <c r="B805" s="14"/>
      <c r="C805" s="1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3">
      <c r="A806" s="1"/>
      <c r="B806" s="14"/>
      <c r="C806" s="1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3">
      <c r="A807" s="1"/>
      <c r="B807" s="14"/>
      <c r="C807" s="1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3">
      <c r="A808" s="1"/>
      <c r="B808" s="14"/>
      <c r="C808" s="1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3">
      <c r="A809" s="1"/>
      <c r="B809" s="14"/>
      <c r="C809" s="1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3">
      <c r="A810" s="1"/>
      <c r="B810" s="14"/>
      <c r="C810" s="1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3">
      <c r="A811" s="1"/>
      <c r="B811" s="14"/>
      <c r="C811" s="1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3">
      <c r="A812" s="1"/>
      <c r="B812" s="14"/>
      <c r="C812" s="1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3">
      <c r="A813" s="1"/>
      <c r="B813" s="14"/>
      <c r="C813" s="1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3">
      <c r="A814" s="1"/>
      <c r="B814" s="14"/>
      <c r="C814" s="1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3">
      <c r="A815" s="1"/>
      <c r="B815" s="14"/>
      <c r="C815" s="1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3">
      <c r="A816" s="1"/>
      <c r="B816" s="14"/>
      <c r="C816" s="1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3">
      <c r="A817" s="1"/>
      <c r="B817" s="14"/>
      <c r="C817" s="1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3">
      <c r="A818" s="1"/>
      <c r="B818" s="14"/>
      <c r="C818" s="1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3">
      <c r="A819" s="1"/>
      <c r="B819" s="14"/>
      <c r="C819" s="1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3">
      <c r="A820" s="1"/>
      <c r="B820" s="14"/>
      <c r="C820" s="1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3">
      <c r="A821" s="1"/>
      <c r="B821" s="14"/>
      <c r="C821" s="1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3">
      <c r="A822" s="1"/>
      <c r="B822" s="14"/>
      <c r="C822" s="1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3">
      <c r="A823" s="1"/>
      <c r="B823" s="14"/>
      <c r="C823" s="1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3">
      <c r="A824" s="1"/>
      <c r="B824" s="14"/>
      <c r="C824" s="1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3">
      <c r="A825" s="1"/>
      <c r="B825" s="14"/>
      <c r="C825" s="1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3">
      <c r="A826" s="1"/>
      <c r="B826" s="14"/>
      <c r="C826" s="1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3">
      <c r="A827" s="1"/>
      <c r="B827" s="14"/>
      <c r="C827" s="1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3">
      <c r="A828" s="1"/>
      <c r="B828" s="14"/>
      <c r="C828" s="1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3">
      <c r="A829" s="1"/>
      <c r="B829" s="14"/>
      <c r="C829" s="1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3">
      <c r="A830" s="1"/>
      <c r="B830" s="14"/>
      <c r="C830" s="1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3">
      <c r="A831" s="1"/>
      <c r="B831" s="14"/>
      <c r="C831" s="1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3">
      <c r="A832" s="1"/>
      <c r="B832" s="14"/>
      <c r="C832" s="1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3">
      <c r="A833" s="1"/>
      <c r="B833" s="14"/>
      <c r="C833" s="1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3">
      <c r="A834" s="1"/>
      <c r="B834" s="14"/>
      <c r="C834" s="1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3">
      <c r="A835" s="1"/>
      <c r="B835" s="14"/>
      <c r="C835" s="1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3">
      <c r="A836" s="1"/>
      <c r="B836" s="14"/>
      <c r="C836" s="1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3">
      <c r="A837" s="1"/>
      <c r="B837" s="14"/>
      <c r="C837" s="1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3">
      <c r="A838" s="1"/>
      <c r="B838" s="14"/>
      <c r="C838" s="1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3">
      <c r="A839" s="1"/>
      <c r="B839" s="14"/>
      <c r="C839" s="1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3">
      <c r="A840" s="1"/>
      <c r="B840" s="14"/>
      <c r="C840" s="1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3">
      <c r="A841" s="1"/>
      <c r="B841" s="14"/>
      <c r="C841" s="1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3">
      <c r="A842" s="1"/>
      <c r="B842" s="14"/>
      <c r="C842" s="1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3">
      <c r="A843" s="1"/>
      <c r="B843" s="14"/>
      <c r="C843" s="1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3">
      <c r="A844" s="1"/>
      <c r="B844" s="14"/>
      <c r="C844" s="1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3">
      <c r="A845" s="1"/>
      <c r="B845" s="14"/>
      <c r="C845" s="1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3">
      <c r="A846" s="1"/>
      <c r="B846" s="14"/>
      <c r="C846" s="1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3">
      <c r="A847" s="1"/>
      <c r="B847" s="14"/>
      <c r="C847" s="1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3">
      <c r="A848" s="1"/>
      <c r="B848" s="14"/>
      <c r="C848" s="1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3">
      <c r="A849" s="1"/>
      <c r="B849" s="14"/>
      <c r="C849" s="1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3">
      <c r="A850" s="1"/>
      <c r="B850" s="14"/>
      <c r="C850" s="1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3">
      <c r="A851" s="1"/>
      <c r="B851" s="14"/>
      <c r="C851" s="1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3">
      <c r="A852" s="1"/>
      <c r="B852" s="14"/>
      <c r="C852" s="1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3">
      <c r="A853" s="1"/>
      <c r="B853" s="14"/>
      <c r="C853" s="1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3">
      <c r="A854" s="1"/>
      <c r="B854" s="14"/>
      <c r="C854" s="1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3">
      <c r="A855" s="1"/>
      <c r="B855" s="14"/>
      <c r="C855" s="1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3">
      <c r="A856" s="1"/>
      <c r="B856" s="14"/>
      <c r="C856" s="1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3">
      <c r="A857" s="1"/>
      <c r="B857" s="14"/>
      <c r="C857" s="1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3">
      <c r="A858" s="1"/>
      <c r="B858" s="14"/>
      <c r="C858" s="1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3">
      <c r="A859" s="1"/>
      <c r="B859" s="14"/>
      <c r="C859" s="1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3">
      <c r="A860" s="1"/>
      <c r="B860" s="14"/>
      <c r="C860" s="1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3">
      <c r="A861" s="1"/>
      <c r="B861" s="14"/>
      <c r="C861" s="1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3">
      <c r="A862" s="1"/>
      <c r="B862" s="14"/>
      <c r="C862" s="1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3">
      <c r="A863" s="1"/>
      <c r="B863" s="14"/>
      <c r="C863" s="1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3">
      <c r="A864" s="1"/>
      <c r="B864" s="14"/>
      <c r="C864" s="1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3">
      <c r="A865" s="1"/>
      <c r="B865" s="14"/>
      <c r="C865" s="1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3">
      <c r="A866" s="1"/>
      <c r="B866" s="14"/>
      <c r="C866" s="1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3">
      <c r="A867" s="1"/>
      <c r="B867" s="14"/>
      <c r="C867" s="1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3">
      <c r="A868" s="1"/>
      <c r="B868" s="14"/>
      <c r="C868" s="1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3">
      <c r="A869" s="1"/>
      <c r="B869" s="14"/>
      <c r="C869" s="1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3">
      <c r="A870" s="1"/>
      <c r="B870" s="14"/>
      <c r="C870" s="1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3">
      <c r="A871" s="1"/>
      <c r="B871" s="14"/>
      <c r="C871" s="1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3">
      <c r="A872" s="1"/>
      <c r="B872" s="14"/>
      <c r="C872" s="1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3">
      <c r="A873" s="1"/>
      <c r="B873" s="14"/>
      <c r="C873" s="1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3">
      <c r="A874" s="1"/>
      <c r="B874" s="14"/>
      <c r="C874" s="1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3">
      <c r="A875" s="1"/>
      <c r="B875" s="14"/>
      <c r="C875" s="1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3">
      <c r="A876" s="1"/>
      <c r="B876" s="14"/>
      <c r="C876" s="1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3">
      <c r="A877" s="1"/>
      <c r="B877" s="14"/>
      <c r="C877" s="1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3">
      <c r="A878" s="1"/>
      <c r="B878" s="14"/>
      <c r="C878" s="1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3">
      <c r="A879" s="1"/>
      <c r="B879" s="14"/>
      <c r="C879" s="1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3">
      <c r="A880" s="1"/>
      <c r="B880" s="14"/>
      <c r="C880" s="1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3">
      <c r="A881" s="1"/>
      <c r="B881" s="14"/>
      <c r="C881" s="1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3">
      <c r="A882" s="1"/>
      <c r="B882" s="14"/>
      <c r="C882" s="1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3">
      <c r="A883" s="1"/>
      <c r="B883" s="14"/>
      <c r="C883" s="1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3">
      <c r="A884" s="1"/>
      <c r="B884" s="14"/>
      <c r="C884" s="1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3">
      <c r="A885" s="1"/>
      <c r="B885" s="14"/>
      <c r="C885" s="1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3">
      <c r="A886" s="1"/>
      <c r="B886" s="14"/>
      <c r="C886" s="1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3">
      <c r="A887" s="1"/>
      <c r="B887" s="14"/>
      <c r="C887" s="1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3">
      <c r="A888" s="1"/>
      <c r="B888" s="14"/>
      <c r="C888" s="1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3">
      <c r="A889" s="1"/>
      <c r="B889" s="14"/>
      <c r="C889" s="1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3">
      <c r="A890" s="1"/>
      <c r="B890" s="14"/>
      <c r="C890" s="1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3">
      <c r="A891" s="1"/>
      <c r="B891" s="14"/>
      <c r="C891" s="1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3">
      <c r="A892" s="1"/>
      <c r="B892" s="14"/>
      <c r="C892" s="1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3">
      <c r="A893" s="1"/>
      <c r="B893" s="14"/>
      <c r="C893" s="1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3">
      <c r="A894" s="1"/>
      <c r="B894" s="14"/>
      <c r="C894" s="1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3">
      <c r="A895" s="1"/>
      <c r="B895" s="14"/>
      <c r="C895" s="1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3">
      <c r="A896" s="1"/>
      <c r="B896" s="14"/>
      <c r="C896" s="1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3">
      <c r="A897" s="1"/>
      <c r="B897" s="14"/>
      <c r="C897" s="1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3">
      <c r="A898" s="1"/>
      <c r="B898" s="14"/>
      <c r="C898" s="1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3">
      <c r="A899" s="1"/>
      <c r="B899" s="14"/>
      <c r="C899" s="1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3">
      <c r="A900" s="1"/>
      <c r="B900" s="14"/>
      <c r="C900" s="1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3">
      <c r="A901" s="1"/>
      <c r="B901" s="14"/>
      <c r="C901" s="1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3">
      <c r="A902" s="1"/>
      <c r="B902" s="14"/>
      <c r="C902" s="1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3">
      <c r="A903" s="1"/>
      <c r="B903" s="14"/>
      <c r="C903" s="1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3">
      <c r="A904" s="1"/>
      <c r="B904" s="14"/>
      <c r="C904" s="1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3">
      <c r="A905" s="1"/>
      <c r="B905" s="14"/>
      <c r="C905" s="1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3">
      <c r="A906" s="1"/>
      <c r="B906" s="14"/>
      <c r="C906" s="1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3">
      <c r="A907" s="1"/>
      <c r="B907" s="14"/>
      <c r="C907" s="1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3">
      <c r="A908" s="1"/>
      <c r="B908" s="14"/>
      <c r="C908" s="1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3">
      <c r="A909" s="1"/>
      <c r="B909" s="14"/>
      <c r="C909" s="1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3">
      <c r="A910" s="1"/>
      <c r="B910" s="14"/>
      <c r="C910" s="1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3">
      <c r="A911" s="1"/>
      <c r="B911" s="14"/>
      <c r="C911" s="1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3">
      <c r="A912" s="1"/>
      <c r="B912" s="14"/>
      <c r="C912" s="1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3">
      <c r="A913" s="1"/>
      <c r="B913" s="14"/>
      <c r="C913" s="1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3">
      <c r="A914" s="1"/>
      <c r="B914" s="14"/>
      <c r="C914" s="1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3">
      <c r="A915" s="1"/>
      <c r="B915" s="14"/>
      <c r="C915" s="1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3">
      <c r="A916" s="1"/>
      <c r="B916" s="14"/>
      <c r="C916" s="1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3">
      <c r="A917" s="1"/>
      <c r="B917" s="14"/>
      <c r="C917" s="1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3">
      <c r="A918" s="1"/>
      <c r="B918" s="14"/>
      <c r="C918" s="1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3">
      <c r="A919" s="1"/>
      <c r="B919" s="14"/>
      <c r="C919" s="1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3">
      <c r="A920" s="1"/>
      <c r="B920" s="14"/>
      <c r="C920" s="1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3">
      <c r="A921" s="1"/>
      <c r="B921" s="14"/>
      <c r="C921" s="1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3">
      <c r="A922" s="1"/>
      <c r="B922" s="14"/>
      <c r="C922" s="1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3">
      <c r="A923" s="1"/>
      <c r="B923" s="14"/>
      <c r="C923" s="1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3">
      <c r="A924" s="1"/>
      <c r="B924" s="14"/>
      <c r="C924" s="1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3">
      <c r="A925" s="1"/>
      <c r="B925" s="14"/>
      <c r="C925" s="1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3">
      <c r="A926" s="1"/>
      <c r="B926" s="14"/>
      <c r="C926" s="1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3">
      <c r="A927" s="1"/>
      <c r="B927" s="14"/>
      <c r="C927" s="1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3">
      <c r="A928" s="1"/>
      <c r="B928" s="14"/>
      <c r="C928" s="1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3">
      <c r="A929" s="1"/>
      <c r="B929" s="14"/>
      <c r="C929" s="1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3">
      <c r="A930" s="1"/>
      <c r="B930" s="14"/>
      <c r="C930" s="1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3">
      <c r="A931" s="1"/>
      <c r="B931" s="14"/>
      <c r="C931" s="1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3">
      <c r="A932" s="1"/>
      <c r="B932" s="14"/>
      <c r="C932" s="1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3">
      <c r="A933" s="1"/>
      <c r="B933" s="14"/>
      <c r="C933" s="1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3">
      <c r="A934" s="1"/>
      <c r="B934" s="14"/>
      <c r="C934" s="1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3">
      <c r="A935" s="1"/>
      <c r="B935" s="14"/>
      <c r="C935" s="1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3">
      <c r="A936" s="1"/>
      <c r="B936" s="14"/>
      <c r="C936" s="1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3">
      <c r="A937" s="1"/>
      <c r="B937" s="14"/>
      <c r="C937" s="1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3">
      <c r="A938" s="1"/>
      <c r="B938" s="14"/>
      <c r="C938" s="1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3">
      <c r="A939" s="1"/>
      <c r="B939" s="14"/>
      <c r="C939" s="1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3">
      <c r="A940" s="1"/>
      <c r="B940" s="14"/>
      <c r="C940" s="1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3">
      <c r="A941" s="1"/>
      <c r="B941" s="14"/>
      <c r="C941" s="1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3">
      <c r="A942" s="1"/>
      <c r="B942" s="14"/>
      <c r="C942" s="1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3">
      <c r="A943" s="1"/>
      <c r="B943" s="14"/>
      <c r="C943" s="1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3">
      <c r="A944" s="1"/>
      <c r="B944" s="14"/>
      <c r="C944" s="1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3">
      <c r="A945" s="1"/>
      <c r="B945" s="14"/>
      <c r="C945" s="1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3">
      <c r="A946" s="1"/>
      <c r="B946" s="14"/>
      <c r="C946" s="1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3">
      <c r="A947" s="1"/>
      <c r="B947" s="14"/>
      <c r="C947" s="1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3">
      <c r="A948" s="1"/>
      <c r="B948" s="14"/>
      <c r="C948" s="1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3">
      <c r="A949" s="1"/>
      <c r="B949" s="14"/>
      <c r="C949" s="1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3">
      <c r="A950" s="1"/>
      <c r="B950" s="14"/>
      <c r="C950" s="1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3">
      <c r="A951" s="1"/>
      <c r="B951" s="14"/>
      <c r="C951" s="1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3">
      <c r="A952" s="1"/>
      <c r="B952" s="14"/>
      <c r="C952" s="1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3">
      <c r="A953" s="1"/>
      <c r="B953" s="14"/>
      <c r="C953" s="1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3">
      <c r="A954" s="1"/>
      <c r="B954" s="14"/>
      <c r="C954" s="1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3">
      <c r="A955" s="1"/>
      <c r="B955" s="14"/>
      <c r="C955" s="1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3">
      <c r="A956" s="1"/>
      <c r="B956" s="14"/>
      <c r="C956" s="1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3">
      <c r="A957" s="1"/>
      <c r="B957" s="14"/>
      <c r="C957" s="1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3">
      <c r="A958" s="1"/>
      <c r="B958" s="14"/>
      <c r="C958" s="1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3">
      <c r="A959" s="1"/>
      <c r="B959" s="14"/>
      <c r="C959" s="1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3">
      <c r="A960" s="1"/>
      <c r="B960" s="14"/>
      <c r="C960" s="1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3">
      <c r="A961" s="1"/>
      <c r="B961" s="14"/>
      <c r="C961" s="1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3">
      <c r="A962" s="1"/>
      <c r="B962" s="14"/>
      <c r="C962" s="1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3">
      <c r="A963" s="1"/>
      <c r="B963" s="14"/>
      <c r="C963" s="1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3">
      <c r="A964" s="1"/>
      <c r="B964" s="14"/>
      <c r="C964" s="1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3">
      <c r="A965" s="1"/>
      <c r="B965" s="14"/>
      <c r="C965" s="1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3">
      <c r="A966" s="1"/>
      <c r="B966" s="14"/>
      <c r="C966" s="1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3">
      <c r="A967" s="1"/>
      <c r="B967" s="14"/>
      <c r="C967" s="1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3">
      <c r="A968" s="1"/>
      <c r="B968" s="14"/>
      <c r="C968" s="1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3">
      <c r="A969" s="1"/>
      <c r="B969" s="14"/>
      <c r="C969" s="1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3">
      <c r="A970" s="1"/>
      <c r="B970" s="14"/>
      <c r="C970" s="1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3">
      <c r="A971" s="1"/>
      <c r="B971" s="14"/>
      <c r="C971" s="1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3">
      <c r="A972" s="1"/>
      <c r="B972" s="14"/>
      <c r="C972" s="1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3">
      <c r="A973" s="1"/>
      <c r="B973" s="14"/>
      <c r="C973" s="1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3">
      <c r="A974" s="1"/>
      <c r="B974" s="14"/>
      <c r="C974" s="1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3">
      <c r="A975" s="1"/>
      <c r="B975" s="14"/>
      <c r="C975" s="1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3">
      <c r="A976" s="1"/>
      <c r="B976" s="14"/>
      <c r="C976" s="1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3">
      <c r="A977" s="1"/>
      <c r="B977" s="14"/>
      <c r="C977" s="1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3">
      <c r="A978" s="1"/>
      <c r="B978" s="14"/>
      <c r="C978" s="1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3">
      <c r="A979" s="1"/>
      <c r="B979" s="14"/>
      <c r="C979" s="1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3">
      <c r="A980" s="1"/>
      <c r="B980" s="14"/>
      <c r="C980" s="1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3">
      <c r="A981" s="1"/>
      <c r="B981" s="14"/>
      <c r="C981" s="1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3">
      <c r="A982" s="1"/>
      <c r="B982" s="14"/>
      <c r="C982" s="1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3">
      <c r="A983" s="1"/>
      <c r="B983" s="14"/>
      <c r="C983" s="1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3">
      <c r="A984" s="1"/>
      <c r="B984" s="14"/>
      <c r="C984" s="1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3">
      <c r="A985" s="1"/>
      <c r="B985" s="14"/>
      <c r="C985" s="1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3">
      <c r="A986" s="1"/>
      <c r="B986" s="14"/>
      <c r="C986" s="1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3">
      <c r="A987" s="1"/>
      <c r="B987" s="14"/>
      <c r="C987" s="1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3">
      <c r="A988" s="1"/>
      <c r="B988" s="14"/>
      <c r="C988" s="1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3">
      <c r="A989" s="1"/>
      <c r="B989" s="14"/>
      <c r="C989" s="1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3">
      <c r="A990" s="1"/>
      <c r="B990" s="14"/>
      <c r="C990" s="1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3">
      <c r="A991" s="1"/>
      <c r="B991" s="14"/>
      <c r="C991" s="1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3">
      <c r="A992" s="1"/>
      <c r="B992" s="14"/>
      <c r="C992" s="1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3">
      <c r="A993" s="1"/>
      <c r="B993" s="14"/>
      <c r="C993" s="1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3">
      <c r="A994" s="1"/>
      <c r="B994" s="14"/>
      <c r="C994" s="1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3">
      <c r="A995" s="1"/>
      <c r="B995" s="14"/>
      <c r="C995" s="1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3">
      <c r="A996" s="1"/>
      <c r="B996" s="14"/>
      <c r="C996" s="1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3">
      <c r="A997" s="1"/>
      <c r="B997" s="14"/>
      <c r="C997" s="1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3">
      <c r="A998" s="1"/>
      <c r="B998" s="14"/>
      <c r="C998" s="1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3">
      <c r="A999" s="1"/>
      <c r="B999" s="14"/>
      <c r="C999" s="1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3">
      <c r="A1000" s="1"/>
      <c r="B1000" s="14"/>
      <c r="C1000" s="1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scale="47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Z100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4" sqref="A4"/>
    </sheetView>
  </sheetViews>
  <sheetFormatPr defaultColWidth="14.44140625" defaultRowHeight="15" customHeight="1" x14ac:dyDescent="0.3"/>
  <cols>
    <col min="1" max="1" width="44.33203125" customWidth="1"/>
    <col min="2" max="3" width="8.33203125" customWidth="1"/>
    <col min="4" max="26" width="8.6640625" customWidth="1"/>
  </cols>
  <sheetData>
    <row r="1" spans="1:26" ht="12" customHeight="1" x14ac:dyDescent="0.3">
      <c r="A1" s="13" t="str">
        <f>CompanyName</f>
        <v>Green Solutions Manufacturing Ltd.</v>
      </c>
      <c r="B1" s="14"/>
      <c r="C1" s="1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3">
      <c r="A2" s="15" t="s">
        <v>40</v>
      </c>
      <c r="B2" s="14"/>
      <c r="C2" s="1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3">
      <c r="A3" s="1"/>
      <c r="B3" s="17" t="str">
        <f>IF(B$4&lt;=FinancialYearEnd,"Actual","Forecast")</f>
        <v>Actual</v>
      </c>
      <c r="C3" s="17" t="str">
        <f>IF(C$4&lt;=FinancialYearEnd,"Actual","Forecast")</f>
        <v>Actual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3">
      <c r="A4" s="18" t="str">
        <f>'P. Input'!$D$7</f>
        <v>£'K</v>
      </c>
      <c r="B4" s="19">
        <f>EDATE(FinancialYearEnd,-12*NumPriorAnnualReportsRecorded)</f>
        <v>44926</v>
      </c>
      <c r="C4" s="19">
        <f>EDATE(B4,12)</f>
        <v>45291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" customHeight="1" x14ac:dyDescent="0.3">
      <c r="A5" s="34" t="s">
        <v>41</v>
      </c>
      <c r="B5" s="43"/>
      <c r="C5" s="4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" customHeight="1" x14ac:dyDescent="0.3">
      <c r="A6" s="1"/>
      <c r="B6" s="14"/>
      <c r="C6" s="1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3">
      <c r="A7" s="44" t="s">
        <v>42</v>
      </c>
      <c r="B7" s="45"/>
      <c r="C7" s="45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" customHeight="1" x14ac:dyDescent="0.3">
      <c r="A8" s="22" t="s">
        <v>43</v>
      </c>
      <c r="B8" s="21">
        <v>3091</v>
      </c>
      <c r="C8" s="21">
        <v>4511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x14ac:dyDescent="0.3">
      <c r="A9" s="22" t="s">
        <v>44</v>
      </c>
      <c r="B9" s="21">
        <v>5979</v>
      </c>
      <c r="C9" s="21">
        <v>5765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3">
      <c r="A10" s="22" t="s">
        <v>45</v>
      </c>
      <c r="B10" s="21">
        <v>12747</v>
      </c>
      <c r="C10" s="21">
        <v>18884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x14ac:dyDescent="0.3">
      <c r="A11" s="22" t="s">
        <v>46</v>
      </c>
      <c r="B11" s="21">
        <v>1558</v>
      </c>
      <c r="C11" s="21">
        <v>2016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3">
      <c r="A12" s="22" t="s">
        <v>47</v>
      </c>
      <c r="B12" s="21">
        <v>0</v>
      </c>
      <c r="C12" s="21">
        <v>1260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x14ac:dyDescent="0.3">
      <c r="A13" s="22" t="s">
        <v>48</v>
      </c>
      <c r="B13" s="21">
        <v>313</v>
      </c>
      <c r="C13" s="21">
        <v>257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3">
      <c r="A14" s="22" t="s">
        <v>49</v>
      </c>
      <c r="B14" s="21">
        <v>207</v>
      </c>
      <c r="C14" s="21">
        <v>200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3">
      <c r="A15" s="22" t="s">
        <v>50</v>
      </c>
      <c r="B15" s="21">
        <v>1536</v>
      </c>
      <c r="C15" s="21">
        <v>2138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3">
      <c r="A16" s="29" t="s">
        <v>51</v>
      </c>
      <c r="B16" s="40">
        <f t="shared" ref="B16:C16" si="0">SUM(B8:B15)</f>
        <v>25431</v>
      </c>
      <c r="C16" s="40">
        <f t="shared" si="0"/>
        <v>35031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" customHeight="1" x14ac:dyDescent="0.3">
      <c r="A17" s="1"/>
      <c r="B17" s="17"/>
      <c r="C17" s="1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3">
      <c r="A18" s="44" t="s">
        <v>52</v>
      </c>
      <c r="B18" s="45"/>
      <c r="C18" s="45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" customHeight="1" x14ac:dyDescent="0.3">
      <c r="A19" s="27" t="s">
        <v>53</v>
      </c>
      <c r="B19" s="21">
        <v>19384</v>
      </c>
      <c r="C19" s="21">
        <v>17576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3">
      <c r="A20" s="22" t="s">
        <v>54</v>
      </c>
      <c r="B20" s="21">
        <v>0</v>
      </c>
      <c r="C20" s="21">
        <v>131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3">
      <c r="A21" s="22" t="s">
        <v>55</v>
      </c>
      <c r="B21" s="21">
        <v>1886</v>
      </c>
      <c r="C21" s="21">
        <v>1913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3">
      <c r="A22" s="22" t="s">
        <v>56</v>
      </c>
      <c r="B22" s="21">
        <v>4101</v>
      </c>
      <c r="C22" s="21">
        <v>5757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3">
      <c r="A23" s="22" t="s">
        <v>57</v>
      </c>
      <c r="B23" s="21">
        <v>1346</v>
      </c>
      <c r="C23" s="21">
        <v>1723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3">
      <c r="A24" s="29" t="s">
        <v>58</v>
      </c>
      <c r="B24" s="40">
        <f t="shared" ref="B24:C24" si="1">SUM(B19:B23)</f>
        <v>26717</v>
      </c>
      <c r="C24" s="40">
        <f t="shared" si="1"/>
        <v>27100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" customHeight="1" x14ac:dyDescent="0.3">
      <c r="A25" s="1"/>
      <c r="B25" s="33"/>
      <c r="C25" s="3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3">
      <c r="A26" s="31" t="s">
        <v>59</v>
      </c>
      <c r="B26" s="32">
        <f t="shared" ref="B26:C26" si="2">B16+B24</f>
        <v>52148</v>
      </c>
      <c r="C26" s="32">
        <f t="shared" si="2"/>
        <v>62131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" customHeight="1" x14ac:dyDescent="0.3">
      <c r="A27" s="1"/>
      <c r="B27" s="14"/>
      <c r="C27" s="1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3">
      <c r="A28" s="34" t="s">
        <v>60</v>
      </c>
      <c r="B28" s="43"/>
      <c r="C28" s="4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" customHeight="1" x14ac:dyDescent="0.3">
      <c r="A29" s="1"/>
      <c r="B29" s="33"/>
      <c r="C29" s="3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3">
      <c r="A30" s="34" t="s">
        <v>61</v>
      </c>
      <c r="B30" s="35"/>
      <c r="C30" s="35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" customHeight="1" x14ac:dyDescent="0.3">
      <c r="A31" s="1"/>
      <c r="B31" s="33"/>
      <c r="C31" s="3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3">
      <c r="A32" s="44" t="s">
        <v>62</v>
      </c>
      <c r="B32" s="45"/>
      <c r="C32" s="45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" customHeight="1" x14ac:dyDescent="0.3">
      <c r="A33" s="22" t="s">
        <v>63</v>
      </c>
      <c r="B33" s="21">
        <v>6051</v>
      </c>
      <c r="C33" s="21">
        <v>10025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3">
      <c r="A34" s="22" t="s">
        <v>64</v>
      </c>
      <c r="B34" s="21">
        <v>3855</v>
      </c>
      <c r="C34" s="21">
        <v>5719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3">
      <c r="A35" s="22" t="s">
        <v>65</v>
      </c>
      <c r="B35" s="21">
        <v>1458</v>
      </c>
      <c r="C35" s="21">
        <v>1447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3">
      <c r="A36" s="22" t="s">
        <v>66</v>
      </c>
      <c r="B36" s="21">
        <v>752</v>
      </c>
      <c r="C36" s="21">
        <v>925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3">
      <c r="A37" s="22" t="s">
        <v>67</v>
      </c>
      <c r="B37" s="21">
        <v>2132</v>
      </c>
      <c r="C37" s="21">
        <v>1589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3">
      <c r="A38" s="29" t="s">
        <v>68</v>
      </c>
      <c r="B38" s="40">
        <f t="shared" ref="B38:C38" si="3">SUM(B33:B37)</f>
        <v>14248</v>
      </c>
      <c r="C38" s="40">
        <f t="shared" si="3"/>
        <v>19705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" customHeight="1" x14ac:dyDescent="0.3">
      <c r="A39" s="1"/>
      <c r="B39" s="33"/>
      <c r="C39" s="3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3">
      <c r="A40" s="44" t="s">
        <v>69</v>
      </c>
      <c r="B40" s="45"/>
      <c r="C40" s="45"/>
      <c r="D40" s="1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" customHeight="1" x14ac:dyDescent="0.3">
      <c r="A41" s="22" t="s">
        <v>70</v>
      </c>
      <c r="B41" s="21">
        <v>9556</v>
      </c>
      <c r="C41" s="21">
        <v>5245</v>
      </c>
      <c r="D41" s="65"/>
      <c r="E41" s="65"/>
      <c r="F41" s="3"/>
      <c r="G41" s="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3">
      <c r="A42" s="22" t="s">
        <v>71</v>
      </c>
      <c r="B42" s="21">
        <v>1284</v>
      </c>
      <c r="C42" s="21">
        <v>2052</v>
      </c>
      <c r="D42" s="68"/>
      <c r="E42" s="68"/>
      <c r="F42" s="3"/>
      <c r="G42" s="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3">
      <c r="A43" s="22" t="s">
        <v>72</v>
      </c>
      <c r="B43" s="21">
        <v>3330</v>
      </c>
      <c r="C43" s="21">
        <v>3546</v>
      </c>
      <c r="D43" s="1"/>
      <c r="E43" s="1"/>
      <c r="F43" s="3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3">
      <c r="A44" s="29" t="s">
        <v>73</v>
      </c>
      <c r="B44" s="40">
        <f t="shared" ref="B44:C44" si="4">SUM(B41:B43)</f>
        <v>14170</v>
      </c>
      <c r="C44" s="40">
        <f t="shared" si="4"/>
        <v>10843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" customHeight="1" x14ac:dyDescent="0.3">
      <c r="A45" s="1"/>
      <c r="B45" s="33"/>
      <c r="C45" s="3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3">
      <c r="A46" s="46" t="s">
        <v>74</v>
      </c>
      <c r="B46" s="47">
        <f t="shared" ref="B46:C46" si="5">B38+B44</f>
        <v>28418</v>
      </c>
      <c r="C46" s="47">
        <f t="shared" si="5"/>
        <v>30548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" customHeight="1" x14ac:dyDescent="0.3">
      <c r="A47" s="1"/>
      <c r="B47" s="1"/>
      <c r="C47" s="1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" customHeight="1" x14ac:dyDescent="0.3">
      <c r="A48" s="22" t="s">
        <v>75</v>
      </c>
      <c r="B48" s="21">
        <v>604</v>
      </c>
      <c r="C48" s="21">
        <v>568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" customHeight="1" x14ac:dyDescent="0.3">
      <c r="A49" s="22" t="s">
        <v>76</v>
      </c>
      <c r="B49" s="21">
        <v>51</v>
      </c>
      <c r="C49" s="21"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3">
      <c r="A51" s="34" t="s">
        <v>77</v>
      </c>
      <c r="B51" s="35"/>
      <c r="C51" s="35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" customHeight="1" x14ac:dyDescent="0.3">
      <c r="A52" s="48" t="s">
        <v>78</v>
      </c>
      <c r="B52" s="21">
        <v>1</v>
      </c>
      <c r="C52" s="21">
        <v>1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3">
      <c r="A53" s="22" t="s">
        <v>79</v>
      </c>
      <c r="B53" s="21">
        <v>27260</v>
      </c>
      <c r="C53" s="21">
        <v>29803</v>
      </c>
      <c r="D53" s="1"/>
      <c r="E53" s="6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3">
      <c r="A54" s="22" t="s">
        <v>80</v>
      </c>
      <c r="B54" s="21">
        <v>363</v>
      </c>
      <c r="C54" s="21">
        <v>54</v>
      </c>
      <c r="D54" s="1"/>
      <c r="E54" s="6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3">
      <c r="A55" s="22" t="s">
        <v>81</v>
      </c>
      <c r="B55" s="21">
        <v>-5399</v>
      </c>
      <c r="C55" s="21">
        <v>331</v>
      </c>
      <c r="D55" s="1"/>
      <c r="E55" s="6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3">
      <c r="A56" s="22" t="s">
        <v>82</v>
      </c>
      <c r="B56" s="21">
        <v>850</v>
      </c>
      <c r="C56" s="21">
        <v>826</v>
      </c>
      <c r="D56" s="1"/>
      <c r="E56" s="6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3">
      <c r="A57" s="46" t="s">
        <v>83</v>
      </c>
      <c r="B57" s="47">
        <f t="shared" ref="B57:C57" si="6">SUM(B52:B56)</f>
        <v>23075</v>
      </c>
      <c r="C57" s="47">
        <f t="shared" si="6"/>
        <v>31015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" customHeight="1" x14ac:dyDescent="0.3">
      <c r="A58" s="1"/>
      <c r="B58" s="33"/>
      <c r="C58" s="3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3">
      <c r="A59" s="31" t="s">
        <v>84</v>
      </c>
      <c r="B59" s="32">
        <f t="shared" ref="B59:C59" si="7">B46+B57+B48+B49</f>
        <v>52148</v>
      </c>
      <c r="C59" s="32">
        <f t="shared" si="7"/>
        <v>62131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" customHeight="1" x14ac:dyDescent="0.3">
      <c r="A60" s="1"/>
      <c r="B60" s="33"/>
      <c r="C60" s="3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3">
      <c r="A61" s="49" t="s">
        <v>85</v>
      </c>
      <c r="B61" s="50">
        <f t="shared" ref="B61:C61" si="8">ROUNDDOWN(B59-B26,0)</f>
        <v>0</v>
      </c>
      <c r="C61" s="50">
        <f t="shared" si="8"/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" customHeight="1" x14ac:dyDescent="0.3">
      <c r="A62" s="1"/>
      <c r="B62" s="14"/>
      <c r="C62" s="1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3">
      <c r="A63" s="1"/>
      <c r="B63" s="14"/>
      <c r="C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3">
      <c r="A64" s="34" t="s">
        <v>86</v>
      </c>
      <c r="B64" s="35"/>
      <c r="C64" s="35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" customHeight="1" x14ac:dyDescent="0.3">
      <c r="A65" s="48" t="s">
        <v>87</v>
      </c>
      <c r="B65" s="51"/>
      <c r="C65" s="51">
        <f>C22-B22</f>
        <v>1656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3">
      <c r="A66" s="22" t="s">
        <v>88</v>
      </c>
      <c r="B66" s="52"/>
      <c r="C66" s="52">
        <f>C21-B21</f>
        <v>27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3">
      <c r="A67" s="22" t="s">
        <v>89</v>
      </c>
      <c r="B67" s="52"/>
      <c r="C67" s="52">
        <f>C33-B33</f>
        <v>3974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3">
      <c r="A68" s="46" t="s">
        <v>90</v>
      </c>
      <c r="B68" s="47"/>
      <c r="C68" s="47">
        <f>SUM(C65:C67)</f>
        <v>5657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" customHeight="1" x14ac:dyDescent="0.3">
      <c r="A69" s="1"/>
      <c r="B69" s="14"/>
      <c r="C69" s="1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3">
      <c r="A70" s="1"/>
      <c r="B70" s="14"/>
      <c r="C70" s="1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3">
      <c r="A71" s="1"/>
      <c r="B71" s="14"/>
      <c r="C71" s="1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3">
      <c r="A72" s="1"/>
      <c r="B72" s="14"/>
      <c r="C72" s="1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3">
      <c r="A73" s="1"/>
      <c r="B73" s="14"/>
      <c r="C73" s="1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3">
      <c r="A74" s="1"/>
      <c r="B74" s="14"/>
      <c r="C74" s="1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3">
      <c r="A75" s="1"/>
      <c r="B75" s="14"/>
      <c r="C75" s="1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3">
      <c r="A76" s="1"/>
      <c r="B76" s="14"/>
      <c r="C76" s="1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3">
      <c r="A77" s="1"/>
      <c r="B77" s="14"/>
      <c r="C77" s="1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3">
      <c r="A78" s="1"/>
      <c r="B78" s="14"/>
      <c r="C78" s="1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1"/>
      <c r="B79" s="14"/>
      <c r="C79" s="1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3">
      <c r="A80" s="1"/>
      <c r="B80" s="14"/>
      <c r="C80" s="1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3">
      <c r="A81" s="1"/>
      <c r="B81" s="14"/>
      <c r="C81" s="1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3">
      <c r="A82" s="1"/>
      <c r="B82" s="14"/>
      <c r="C82" s="1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3">
      <c r="A83" s="1"/>
      <c r="B83" s="14"/>
      <c r="C83" s="1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3">
      <c r="A84" s="1"/>
      <c r="B84" s="14"/>
      <c r="C84" s="1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3">
      <c r="A85" s="1"/>
      <c r="B85" s="14"/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3">
      <c r="A86" s="1"/>
      <c r="B86" s="14"/>
      <c r="C86" s="1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3">
      <c r="A87" s="1"/>
      <c r="B87" s="14"/>
      <c r="C87" s="1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3">
      <c r="A88" s="1"/>
      <c r="B88" s="14"/>
      <c r="C88" s="1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3">
      <c r="A89" s="1"/>
      <c r="B89" s="14"/>
      <c r="C89" s="1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3">
      <c r="A90" s="1"/>
      <c r="B90" s="14"/>
      <c r="C90" s="1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3">
      <c r="A91" s="1"/>
      <c r="B91" s="14"/>
      <c r="C91" s="1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3">
      <c r="A92" s="1"/>
      <c r="B92" s="14"/>
      <c r="C92" s="1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3">
      <c r="A93" s="1"/>
      <c r="B93" s="14"/>
      <c r="C93" s="1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3">
      <c r="A94" s="1"/>
      <c r="B94" s="14"/>
      <c r="C94" s="1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3">
      <c r="A95" s="1"/>
      <c r="B95" s="14"/>
      <c r="C95" s="1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3">
      <c r="A96" s="1"/>
      <c r="B96" s="14"/>
      <c r="C96" s="1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3">
      <c r="A97" s="1"/>
      <c r="B97" s="14"/>
      <c r="C97" s="1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3">
      <c r="A98" s="1"/>
      <c r="B98" s="14"/>
      <c r="C98" s="1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3">
      <c r="A99" s="1"/>
      <c r="B99" s="14"/>
      <c r="C99" s="1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3">
      <c r="A100" s="1"/>
      <c r="B100" s="14"/>
      <c r="C100" s="1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3">
      <c r="A101" s="1"/>
      <c r="B101" s="14"/>
      <c r="C101" s="1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3">
      <c r="A102" s="1"/>
      <c r="B102" s="14"/>
      <c r="C102" s="1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3">
      <c r="A103" s="1"/>
      <c r="B103" s="14"/>
      <c r="C103" s="1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3">
      <c r="A104" s="1"/>
      <c r="B104" s="14"/>
      <c r="C104" s="1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3">
      <c r="A105" s="1"/>
      <c r="B105" s="14"/>
      <c r="C105" s="1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3">
      <c r="A106" s="1"/>
      <c r="B106" s="14"/>
      <c r="C106" s="1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3">
      <c r="A107" s="1"/>
      <c r="B107" s="14"/>
      <c r="C107" s="1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3">
      <c r="A108" s="1"/>
      <c r="B108" s="14"/>
      <c r="C108" s="1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3">
      <c r="A109" s="1"/>
      <c r="B109" s="14"/>
      <c r="C109" s="1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3">
      <c r="A110" s="1"/>
      <c r="B110" s="14"/>
      <c r="C110" s="1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3">
      <c r="A111" s="1"/>
      <c r="B111" s="14"/>
      <c r="C111" s="1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3">
      <c r="A112" s="1"/>
      <c r="B112" s="14"/>
      <c r="C112" s="1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3">
      <c r="A113" s="1"/>
      <c r="B113" s="14"/>
      <c r="C113" s="1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3">
      <c r="A114" s="1"/>
      <c r="B114" s="14"/>
      <c r="C114" s="1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3">
      <c r="A115" s="1"/>
      <c r="B115" s="14"/>
      <c r="C115" s="1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3">
      <c r="A116" s="1"/>
      <c r="B116" s="14"/>
      <c r="C116" s="1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3">
      <c r="A117" s="1"/>
      <c r="B117" s="14"/>
      <c r="C117" s="1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3">
      <c r="A118" s="1"/>
      <c r="B118" s="14"/>
      <c r="C118" s="1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3">
      <c r="A119" s="1"/>
      <c r="B119" s="14"/>
      <c r="C119" s="1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3">
      <c r="A120" s="1"/>
      <c r="B120" s="14"/>
      <c r="C120" s="1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3">
      <c r="A121" s="1"/>
      <c r="B121" s="14"/>
      <c r="C121" s="1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3">
      <c r="A122" s="1"/>
      <c r="B122" s="14"/>
      <c r="C122" s="1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3">
      <c r="A123" s="1"/>
      <c r="B123" s="14"/>
      <c r="C123" s="1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3">
      <c r="A124" s="1"/>
      <c r="B124" s="14"/>
      <c r="C124" s="1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3">
      <c r="A125" s="1"/>
      <c r="B125" s="14"/>
      <c r="C125" s="1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3">
      <c r="A126" s="1"/>
      <c r="B126" s="14"/>
      <c r="C126" s="14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3">
      <c r="A127" s="1"/>
      <c r="B127" s="14"/>
      <c r="C127" s="1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3">
      <c r="A128" s="1"/>
      <c r="B128" s="14"/>
      <c r="C128" s="1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3">
      <c r="A129" s="1"/>
      <c r="B129" s="14"/>
      <c r="C129" s="1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3">
      <c r="A130" s="1"/>
      <c r="B130" s="14"/>
      <c r="C130" s="1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3">
      <c r="A131" s="1"/>
      <c r="B131" s="14"/>
      <c r="C131" s="1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3">
      <c r="A132" s="1"/>
      <c r="B132" s="14"/>
      <c r="C132" s="1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3">
      <c r="A133" s="1"/>
      <c r="B133" s="14"/>
      <c r="C133" s="1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3">
      <c r="A134" s="1"/>
      <c r="B134" s="14"/>
      <c r="C134" s="1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3">
      <c r="A135" s="1"/>
      <c r="B135" s="14"/>
      <c r="C135" s="1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3">
      <c r="A136" s="1"/>
      <c r="B136" s="14"/>
      <c r="C136" s="1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3">
      <c r="A137" s="1"/>
      <c r="B137" s="14"/>
      <c r="C137" s="1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3">
      <c r="A138" s="1"/>
      <c r="B138" s="14"/>
      <c r="C138" s="1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3">
      <c r="A139" s="1"/>
      <c r="B139" s="14"/>
      <c r="C139" s="1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3">
      <c r="A140" s="1"/>
      <c r="B140" s="14"/>
      <c r="C140" s="1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3">
      <c r="A141" s="1"/>
      <c r="B141" s="14"/>
      <c r="C141" s="1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3">
      <c r="A142" s="1"/>
      <c r="B142" s="14"/>
      <c r="C142" s="1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3">
      <c r="A143" s="1"/>
      <c r="B143" s="14"/>
      <c r="C143" s="1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3">
      <c r="A144" s="1"/>
      <c r="B144" s="14"/>
      <c r="C144" s="1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3">
      <c r="A145" s="1"/>
      <c r="B145" s="14"/>
      <c r="C145" s="1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3">
      <c r="A146" s="1"/>
      <c r="B146" s="14"/>
      <c r="C146" s="1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3">
      <c r="A147" s="1"/>
      <c r="B147" s="14"/>
      <c r="C147" s="1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3">
      <c r="A148" s="1"/>
      <c r="B148" s="14"/>
      <c r="C148" s="1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3">
      <c r="A149" s="1"/>
      <c r="B149" s="14"/>
      <c r="C149" s="1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1"/>
      <c r="B150" s="14"/>
      <c r="C150" s="14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3">
      <c r="A151" s="1"/>
      <c r="B151" s="14"/>
      <c r="C151" s="14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3">
      <c r="A152" s="1"/>
      <c r="B152" s="14"/>
      <c r="C152" s="14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3">
      <c r="A153" s="1"/>
      <c r="B153" s="14"/>
      <c r="C153" s="14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3">
      <c r="A154" s="1"/>
      <c r="B154" s="14"/>
      <c r="C154" s="1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3">
      <c r="A155" s="1"/>
      <c r="B155" s="14"/>
      <c r="C155" s="14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3">
      <c r="A156" s="1"/>
      <c r="B156" s="14"/>
      <c r="C156" s="14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3">
      <c r="A157" s="1"/>
      <c r="B157" s="14"/>
      <c r="C157" s="14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3">
      <c r="A158" s="1"/>
      <c r="B158" s="14"/>
      <c r="C158" s="1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3">
      <c r="A159" s="1"/>
      <c r="B159" s="14"/>
      <c r="C159" s="14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3">
      <c r="A160" s="1"/>
      <c r="B160" s="14"/>
      <c r="C160" s="14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3">
      <c r="A161" s="1"/>
      <c r="B161" s="14"/>
      <c r="C161" s="14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3">
      <c r="A162" s="1"/>
      <c r="B162" s="14"/>
      <c r="C162" s="14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3">
      <c r="A163" s="1"/>
      <c r="B163" s="14"/>
      <c r="C163" s="14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3">
      <c r="A164" s="1"/>
      <c r="B164" s="14"/>
      <c r="C164" s="14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3">
      <c r="A165" s="1"/>
      <c r="B165" s="14"/>
      <c r="C165" s="1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3">
      <c r="A166" s="1"/>
      <c r="B166" s="14"/>
      <c r="C166" s="14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3">
      <c r="A167" s="1"/>
      <c r="B167" s="14"/>
      <c r="C167" s="14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3">
      <c r="A168" s="1"/>
      <c r="B168" s="14"/>
      <c r="C168" s="14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3">
      <c r="A169" s="1"/>
      <c r="B169" s="14"/>
      <c r="C169" s="1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3">
      <c r="A170" s="1"/>
      <c r="B170" s="14"/>
      <c r="C170" s="14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3">
      <c r="A171" s="1"/>
      <c r="B171" s="14"/>
      <c r="C171" s="14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1"/>
      <c r="B172" s="14"/>
      <c r="C172" s="14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3">
      <c r="A173" s="1"/>
      <c r="B173" s="14"/>
      <c r="C173" s="14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3">
      <c r="A174" s="1"/>
      <c r="B174" s="14"/>
      <c r="C174" s="1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3">
      <c r="A175" s="1"/>
      <c r="B175" s="14"/>
      <c r="C175" s="1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3">
      <c r="A176" s="1"/>
      <c r="B176" s="14"/>
      <c r="C176" s="1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3">
      <c r="A177" s="1"/>
      <c r="B177" s="14"/>
      <c r="C177" s="1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3">
      <c r="A178" s="1"/>
      <c r="B178" s="14"/>
      <c r="C178" s="1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3">
      <c r="A179" s="1"/>
      <c r="B179" s="14"/>
      <c r="C179" s="1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3">
      <c r="A180" s="1"/>
      <c r="B180" s="14"/>
      <c r="C180" s="1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3">
      <c r="A181" s="1"/>
      <c r="B181" s="14"/>
      <c r="C181" s="14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3">
      <c r="A182" s="1"/>
      <c r="B182" s="14"/>
      <c r="C182" s="14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3">
      <c r="A183" s="1"/>
      <c r="B183" s="14"/>
      <c r="C183" s="14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3">
      <c r="A184" s="1"/>
      <c r="B184" s="14"/>
      <c r="C184" s="14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3">
      <c r="A185" s="1"/>
      <c r="B185" s="14"/>
      <c r="C185" s="14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3">
      <c r="A186" s="1"/>
      <c r="B186" s="14"/>
      <c r="C186" s="14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3">
      <c r="A187" s="1"/>
      <c r="B187" s="14"/>
      <c r="C187" s="14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3">
      <c r="A188" s="1"/>
      <c r="B188" s="14"/>
      <c r="C188" s="14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3">
      <c r="A189" s="1"/>
      <c r="B189" s="14"/>
      <c r="C189" s="1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3">
      <c r="A190" s="1"/>
      <c r="B190" s="14"/>
      <c r="C190" s="1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3">
      <c r="A191" s="1"/>
      <c r="B191" s="14"/>
      <c r="C191" s="1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3">
      <c r="A192" s="1"/>
      <c r="B192" s="14"/>
      <c r="C192" s="1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3">
      <c r="A193" s="1"/>
      <c r="B193" s="14"/>
      <c r="C193" s="1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3">
      <c r="A194" s="1"/>
      <c r="B194" s="14"/>
      <c r="C194" s="1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3">
      <c r="A195" s="1"/>
      <c r="B195" s="14"/>
      <c r="C195" s="1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3">
      <c r="A196" s="1"/>
      <c r="B196" s="14"/>
      <c r="C196" s="1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3">
      <c r="A197" s="1"/>
      <c r="B197" s="14"/>
      <c r="C197" s="1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3">
      <c r="A198" s="1"/>
      <c r="B198" s="14"/>
      <c r="C198" s="1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3">
      <c r="A199" s="1"/>
      <c r="B199" s="14"/>
      <c r="C199" s="1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3">
      <c r="A200" s="1"/>
      <c r="B200" s="14"/>
      <c r="C200" s="1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3">
      <c r="A201" s="1"/>
      <c r="B201" s="14"/>
      <c r="C201" s="1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3">
      <c r="A202" s="1"/>
      <c r="B202" s="14"/>
      <c r="C202" s="1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3">
      <c r="A203" s="1"/>
      <c r="B203" s="14"/>
      <c r="C203" s="1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3">
      <c r="A204" s="1"/>
      <c r="B204" s="14"/>
      <c r="C204" s="1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3">
      <c r="A205" s="1"/>
      <c r="B205" s="14"/>
      <c r="C205" s="14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3">
      <c r="A206" s="1"/>
      <c r="B206" s="14"/>
      <c r="C206" s="14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3">
      <c r="A207" s="1"/>
      <c r="B207" s="14"/>
      <c r="C207" s="14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3">
      <c r="A208" s="1"/>
      <c r="B208" s="14"/>
      <c r="C208" s="1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3">
      <c r="A209" s="1"/>
      <c r="B209" s="14"/>
      <c r="C209" s="1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3">
      <c r="A210" s="1"/>
      <c r="B210" s="14"/>
      <c r="C210" s="1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3">
      <c r="A211" s="1"/>
      <c r="B211" s="14"/>
      <c r="C211" s="1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3">
      <c r="A212" s="1"/>
      <c r="B212" s="14"/>
      <c r="C212" s="1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3">
      <c r="A213" s="1"/>
      <c r="B213" s="14"/>
      <c r="C213" s="1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3">
      <c r="A214" s="1"/>
      <c r="B214" s="14"/>
      <c r="C214" s="1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3">
      <c r="A215" s="1"/>
      <c r="B215" s="14"/>
      <c r="C215" s="1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3">
      <c r="A216" s="1"/>
      <c r="B216" s="14"/>
      <c r="C216" s="1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3">
      <c r="A217" s="1"/>
      <c r="B217" s="14"/>
      <c r="C217" s="1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3">
      <c r="A218" s="1"/>
      <c r="B218" s="14"/>
      <c r="C218" s="1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3">
      <c r="A219" s="1"/>
      <c r="B219" s="14"/>
      <c r="C219" s="1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3">
      <c r="A220" s="1"/>
      <c r="B220" s="14"/>
      <c r="C220" s="1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3">
      <c r="A221" s="1"/>
      <c r="B221" s="14"/>
      <c r="C221" s="1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3">
      <c r="A222" s="1"/>
      <c r="B222" s="14"/>
      <c r="C222" s="1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3">
      <c r="A223" s="1"/>
      <c r="B223" s="14"/>
      <c r="C223" s="1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3">
      <c r="A224" s="1"/>
      <c r="B224" s="14"/>
      <c r="C224" s="14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3">
      <c r="A225" s="1"/>
      <c r="B225" s="14"/>
      <c r="C225" s="14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3">
      <c r="A226" s="1"/>
      <c r="B226" s="14"/>
      <c r="C226" s="1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3">
      <c r="A227" s="1"/>
      <c r="B227" s="14"/>
      <c r="C227" s="14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3">
      <c r="A228" s="1"/>
      <c r="B228" s="14"/>
      <c r="C228" s="14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3">
      <c r="A229" s="1"/>
      <c r="B229" s="14"/>
      <c r="C229" s="14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3">
      <c r="A230" s="1"/>
      <c r="B230" s="14"/>
      <c r="C230" s="14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3">
      <c r="A231" s="1"/>
      <c r="B231" s="14"/>
      <c r="C231" s="14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3">
      <c r="A232" s="1"/>
      <c r="B232" s="14"/>
      <c r="C232" s="14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3">
      <c r="A233" s="1"/>
      <c r="B233" s="14"/>
      <c r="C233" s="14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3">
      <c r="A234" s="1"/>
      <c r="B234" s="14"/>
      <c r="C234" s="14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3">
      <c r="A235" s="1"/>
      <c r="B235" s="14"/>
      <c r="C235" s="14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3">
      <c r="A236" s="1"/>
      <c r="B236" s="14"/>
      <c r="C236" s="14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3">
      <c r="A237" s="1"/>
      <c r="B237" s="14"/>
      <c r="C237" s="14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3">
      <c r="A238" s="1"/>
      <c r="B238" s="14"/>
      <c r="C238" s="14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3">
      <c r="A239" s="1"/>
      <c r="B239" s="14"/>
      <c r="C239" s="14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3">
      <c r="A240" s="1"/>
      <c r="B240" s="14"/>
      <c r="C240" s="14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3">
      <c r="A241" s="1"/>
      <c r="B241" s="14"/>
      <c r="C241" s="14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3">
      <c r="A242" s="1"/>
      <c r="B242" s="14"/>
      <c r="C242" s="14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3">
      <c r="A243" s="1"/>
      <c r="B243" s="14"/>
      <c r="C243" s="14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3">
      <c r="A244" s="1"/>
      <c r="B244" s="14"/>
      <c r="C244" s="14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3">
      <c r="A245" s="1"/>
      <c r="B245" s="14"/>
      <c r="C245" s="14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3">
      <c r="A246" s="1"/>
      <c r="B246" s="14"/>
      <c r="C246" s="14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3">
      <c r="A247" s="1"/>
      <c r="B247" s="14"/>
      <c r="C247" s="14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1"/>
      <c r="B248" s="14"/>
      <c r="C248" s="14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1"/>
      <c r="B249" s="14"/>
      <c r="C249" s="14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1"/>
      <c r="B250" s="14"/>
      <c r="C250" s="14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1"/>
      <c r="B251" s="14"/>
      <c r="C251" s="14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1"/>
      <c r="B252" s="14"/>
      <c r="C252" s="14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1"/>
      <c r="B253" s="14"/>
      <c r="C253" s="14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1"/>
      <c r="B254" s="14"/>
      <c r="C254" s="14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1"/>
      <c r="B255" s="14"/>
      <c r="C255" s="1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1"/>
      <c r="B256" s="14"/>
      <c r="C256" s="1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1"/>
      <c r="B257" s="14"/>
      <c r="C257" s="14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1"/>
      <c r="B258" s="14"/>
      <c r="C258" s="14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1"/>
      <c r="B259" s="14"/>
      <c r="C259" s="14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1"/>
      <c r="B260" s="14"/>
      <c r="C260" s="14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1"/>
      <c r="B261" s="14"/>
      <c r="C261" s="14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1"/>
      <c r="B262" s="14"/>
      <c r="C262" s="14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1"/>
      <c r="B263" s="14"/>
      <c r="C263" s="14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1"/>
      <c r="B264" s="14"/>
      <c r="C264" s="14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1"/>
      <c r="B265" s="14"/>
      <c r="C265" s="14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1"/>
      <c r="B266" s="14"/>
      <c r="C266" s="14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1"/>
      <c r="B267" s="14"/>
      <c r="C267" s="14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1"/>
      <c r="B268" s="14"/>
      <c r="C268" s="14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1"/>
      <c r="B269" s="14"/>
      <c r="C269" s="14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1"/>
      <c r="B270" s="14"/>
      <c r="C270" s="14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3">
      <c r="A271" s="1"/>
      <c r="B271" s="14"/>
      <c r="C271" s="14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3">
      <c r="A272" s="1"/>
      <c r="B272" s="14"/>
      <c r="C272" s="14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3">
      <c r="A273" s="1"/>
      <c r="B273" s="14"/>
      <c r="C273" s="1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3">
      <c r="A274" s="1"/>
      <c r="B274" s="14"/>
      <c r="C274" s="14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3">
      <c r="A275" s="1"/>
      <c r="B275" s="14"/>
      <c r="C275" s="14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3">
      <c r="A276" s="1"/>
      <c r="B276" s="14"/>
      <c r="C276" s="14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3">
      <c r="A277" s="1"/>
      <c r="B277" s="14"/>
      <c r="C277" s="14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3">
      <c r="A278" s="1"/>
      <c r="B278" s="14"/>
      <c r="C278" s="14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3">
      <c r="A279" s="1"/>
      <c r="B279" s="14"/>
      <c r="C279" s="1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3">
      <c r="A280" s="1"/>
      <c r="B280" s="14"/>
      <c r="C280" s="1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3">
      <c r="A281" s="1"/>
      <c r="B281" s="14"/>
      <c r="C281" s="1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3">
      <c r="A282" s="1"/>
      <c r="B282" s="14"/>
      <c r="C282" s="1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3">
      <c r="A283" s="1"/>
      <c r="B283" s="14"/>
      <c r="C283" s="1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3">
      <c r="A284" s="1"/>
      <c r="B284" s="14"/>
      <c r="C284" s="1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3">
      <c r="A285" s="1"/>
      <c r="B285" s="14"/>
      <c r="C285" s="1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3">
      <c r="A286" s="1"/>
      <c r="B286" s="14"/>
      <c r="C286" s="1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3">
      <c r="A287" s="1"/>
      <c r="B287" s="14"/>
      <c r="C287" s="1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3">
      <c r="A288" s="1"/>
      <c r="B288" s="14"/>
      <c r="C288" s="1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3">
      <c r="A289" s="1"/>
      <c r="B289" s="14"/>
      <c r="C289" s="1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3">
      <c r="A290" s="1"/>
      <c r="B290" s="14"/>
      <c r="C290" s="1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3">
      <c r="A291" s="1"/>
      <c r="B291" s="14"/>
      <c r="C291" s="1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3">
      <c r="A292" s="1"/>
      <c r="B292" s="14"/>
      <c r="C292" s="1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3">
      <c r="A293" s="1"/>
      <c r="B293" s="14"/>
      <c r="C293" s="1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3">
      <c r="A294" s="1"/>
      <c r="B294" s="14"/>
      <c r="C294" s="1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3">
      <c r="A295" s="1"/>
      <c r="B295" s="14"/>
      <c r="C295" s="1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3">
      <c r="A296" s="1"/>
      <c r="B296" s="14"/>
      <c r="C296" s="1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3">
      <c r="A297" s="1"/>
      <c r="B297" s="14"/>
      <c r="C297" s="1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3">
      <c r="A298" s="1"/>
      <c r="B298" s="14"/>
      <c r="C298" s="14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3">
      <c r="A299" s="1"/>
      <c r="B299" s="14"/>
      <c r="C299" s="14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3">
      <c r="A300" s="1"/>
      <c r="B300" s="14"/>
      <c r="C300" s="14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1"/>
      <c r="B301" s="14"/>
      <c r="C301" s="14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3">
      <c r="A302" s="1"/>
      <c r="B302" s="14"/>
      <c r="C302" s="14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3">
      <c r="A303" s="1"/>
      <c r="B303" s="14"/>
      <c r="C303" s="14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3">
      <c r="A304" s="1"/>
      <c r="B304" s="14"/>
      <c r="C304" s="14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3">
      <c r="A305" s="1"/>
      <c r="B305" s="14"/>
      <c r="C305" s="14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3">
      <c r="A306" s="1"/>
      <c r="B306" s="14"/>
      <c r="C306" s="14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3">
      <c r="A307" s="1"/>
      <c r="B307" s="14"/>
      <c r="C307" s="14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3">
      <c r="A308" s="1"/>
      <c r="B308" s="14"/>
      <c r="C308" s="14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3">
      <c r="A309" s="1"/>
      <c r="B309" s="14"/>
      <c r="C309" s="14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3">
      <c r="A310" s="1"/>
      <c r="B310" s="14"/>
      <c r="C310" s="14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3">
      <c r="A311" s="1"/>
      <c r="B311" s="14"/>
      <c r="C311" s="14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3">
      <c r="A312" s="1"/>
      <c r="B312" s="14"/>
      <c r="C312" s="14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3">
      <c r="A313" s="1"/>
      <c r="B313" s="14"/>
      <c r="C313" s="14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3">
      <c r="A314" s="1"/>
      <c r="B314" s="14"/>
      <c r="C314" s="14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3">
      <c r="A315" s="1"/>
      <c r="B315" s="14"/>
      <c r="C315" s="14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3">
      <c r="A316" s="1"/>
      <c r="B316" s="14"/>
      <c r="C316" s="14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3">
      <c r="A317" s="1"/>
      <c r="B317" s="14"/>
      <c r="C317" s="14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3">
      <c r="A318" s="1"/>
      <c r="B318" s="14"/>
      <c r="C318" s="14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3">
      <c r="A319" s="1"/>
      <c r="B319" s="14"/>
      <c r="C319" s="14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3">
      <c r="A320" s="1"/>
      <c r="B320" s="14"/>
      <c r="C320" s="14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3">
      <c r="A321" s="1"/>
      <c r="B321" s="14"/>
      <c r="C321" s="14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3">
      <c r="A322" s="1"/>
      <c r="B322" s="14"/>
      <c r="C322" s="14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3">
      <c r="A323" s="1"/>
      <c r="B323" s="14"/>
      <c r="C323" s="1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3">
      <c r="A324" s="1"/>
      <c r="B324" s="14"/>
      <c r="C324" s="1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3">
      <c r="A325" s="1"/>
      <c r="B325" s="14"/>
      <c r="C325" s="1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3">
      <c r="A326" s="1"/>
      <c r="B326" s="14"/>
      <c r="C326" s="1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3">
      <c r="A327" s="1"/>
      <c r="B327" s="14"/>
      <c r="C327" s="1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3">
      <c r="A328" s="1"/>
      <c r="B328" s="14"/>
      <c r="C328" s="1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3">
      <c r="A329" s="1"/>
      <c r="B329" s="14"/>
      <c r="C329" s="1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3">
      <c r="A330" s="1"/>
      <c r="B330" s="14"/>
      <c r="C330" s="14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3">
      <c r="A331" s="1"/>
      <c r="B331" s="14"/>
      <c r="C331" s="1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3">
      <c r="A332" s="1"/>
      <c r="B332" s="14"/>
      <c r="C332" s="1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3">
      <c r="A333" s="1"/>
      <c r="B333" s="14"/>
      <c r="C333" s="1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3">
      <c r="A334" s="1"/>
      <c r="B334" s="14"/>
      <c r="C334" s="1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3">
      <c r="A335" s="1"/>
      <c r="B335" s="14"/>
      <c r="C335" s="1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3">
      <c r="A336" s="1"/>
      <c r="B336" s="14"/>
      <c r="C336" s="1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3">
      <c r="A337" s="1"/>
      <c r="B337" s="14"/>
      <c r="C337" s="1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3">
      <c r="A338" s="1"/>
      <c r="B338" s="14"/>
      <c r="C338" s="1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3">
      <c r="A339" s="1"/>
      <c r="B339" s="14"/>
      <c r="C339" s="1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3">
      <c r="A340" s="1"/>
      <c r="B340" s="14"/>
      <c r="C340" s="1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3">
      <c r="A341" s="1"/>
      <c r="B341" s="14"/>
      <c r="C341" s="1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3">
      <c r="A342" s="1"/>
      <c r="B342" s="14"/>
      <c r="C342" s="1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3">
      <c r="A343" s="1"/>
      <c r="B343" s="14"/>
      <c r="C343" s="1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3">
      <c r="A344" s="1"/>
      <c r="B344" s="14"/>
      <c r="C344" s="1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3">
      <c r="A345" s="1"/>
      <c r="B345" s="14"/>
      <c r="C345" s="1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3">
      <c r="A346" s="1"/>
      <c r="B346" s="14"/>
      <c r="C346" s="1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3">
      <c r="A347" s="1"/>
      <c r="B347" s="14"/>
      <c r="C347" s="1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3">
      <c r="A348" s="1"/>
      <c r="B348" s="14"/>
      <c r="C348" s="1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3">
      <c r="A349" s="1"/>
      <c r="B349" s="14"/>
      <c r="C349" s="1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3">
      <c r="A350" s="1"/>
      <c r="B350" s="14"/>
      <c r="C350" s="1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3">
      <c r="A351" s="1"/>
      <c r="B351" s="14"/>
      <c r="C351" s="1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3">
      <c r="A352" s="1"/>
      <c r="B352" s="14"/>
      <c r="C352" s="1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3">
      <c r="A353" s="1"/>
      <c r="B353" s="14"/>
      <c r="C353" s="1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3">
      <c r="A354" s="1"/>
      <c r="B354" s="14"/>
      <c r="C354" s="1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3">
      <c r="A355" s="1"/>
      <c r="B355" s="14"/>
      <c r="C355" s="1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3">
      <c r="A356" s="1"/>
      <c r="B356" s="14"/>
      <c r="C356" s="1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3">
      <c r="A357" s="1"/>
      <c r="B357" s="14"/>
      <c r="C357" s="1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3">
      <c r="A358" s="1"/>
      <c r="B358" s="14"/>
      <c r="C358" s="1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3">
      <c r="A359" s="1"/>
      <c r="B359" s="14"/>
      <c r="C359" s="1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3">
      <c r="A360" s="1"/>
      <c r="B360" s="14"/>
      <c r="C360" s="1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3">
      <c r="A361" s="1"/>
      <c r="B361" s="14"/>
      <c r="C361" s="1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3">
      <c r="A362" s="1"/>
      <c r="B362" s="14"/>
      <c r="C362" s="1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3">
      <c r="A363" s="1"/>
      <c r="B363" s="14"/>
      <c r="C363" s="1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3">
      <c r="A364" s="1"/>
      <c r="B364" s="14"/>
      <c r="C364" s="1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3">
      <c r="A365" s="1"/>
      <c r="B365" s="14"/>
      <c r="C365" s="1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3">
      <c r="A366" s="1"/>
      <c r="B366" s="14"/>
      <c r="C366" s="1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3">
      <c r="A367" s="1"/>
      <c r="B367" s="14"/>
      <c r="C367" s="1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3">
      <c r="A368" s="1"/>
      <c r="B368" s="14"/>
      <c r="C368" s="1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3">
      <c r="A369" s="1"/>
      <c r="B369" s="14"/>
      <c r="C369" s="1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3">
      <c r="A370" s="1"/>
      <c r="B370" s="14"/>
      <c r="C370" s="1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3">
      <c r="A371" s="1"/>
      <c r="B371" s="14"/>
      <c r="C371" s="1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3">
      <c r="A372" s="1"/>
      <c r="B372" s="14"/>
      <c r="C372" s="1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3">
      <c r="A373" s="1"/>
      <c r="B373" s="14"/>
      <c r="C373" s="1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3">
      <c r="A374" s="1"/>
      <c r="B374" s="14"/>
      <c r="C374" s="1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3">
      <c r="A375" s="1"/>
      <c r="B375" s="14"/>
      <c r="C375" s="1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3">
      <c r="A376" s="1"/>
      <c r="B376" s="14"/>
      <c r="C376" s="1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3">
      <c r="A377" s="1"/>
      <c r="B377" s="14"/>
      <c r="C377" s="1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3">
      <c r="A378" s="1"/>
      <c r="B378" s="14"/>
      <c r="C378" s="1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3">
      <c r="A379" s="1"/>
      <c r="B379" s="14"/>
      <c r="C379" s="1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3">
      <c r="A380" s="1"/>
      <c r="B380" s="14"/>
      <c r="C380" s="1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3">
      <c r="A381" s="1"/>
      <c r="B381" s="14"/>
      <c r="C381" s="1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3">
      <c r="A382" s="1"/>
      <c r="B382" s="14"/>
      <c r="C382" s="1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3">
      <c r="A383" s="1"/>
      <c r="B383" s="14"/>
      <c r="C383" s="1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3">
      <c r="A384" s="1"/>
      <c r="B384" s="14"/>
      <c r="C384" s="1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3">
      <c r="A385" s="1"/>
      <c r="B385" s="14"/>
      <c r="C385" s="1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3">
      <c r="A386" s="1"/>
      <c r="B386" s="14"/>
      <c r="C386" s="1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3">
      <c r="A387" s="1"/>
      <c r="B387" s="14"/>
      <c r="C387" s="1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3">
      <c r="A388" s="1"/>
      <c r="B388" s="14"/>
      <c r="C388" s="1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3">
      <c r="A389" s="1"/>
      <c r="B389" s="14"/>
      <c r="C389" s="1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3">
      <c r="A390" s="1"/>
      <c r="B390" s="14"/>
      <c r="C390" s="1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3">
      <c r="A391" s="1"/>
      <c r="B391" s="14"/>
      <c r="C391" s="1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3">
      <c r="A392" s="1"/>
      <c r="B392" s="14"/>
      <c r="C392" s="1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3">
      <c r="A393" s="1"/>
      <c r="B393" s="14"/>
      <c r="C393" s="1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3">
      <c r="A394" s="1"/>
      <c r="B394" s="14"/>
      <c r="C394" s="1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3">
      <c r="A395" s="1"/>
      <c r="B395" s="14"/>
      <c r="C395" s="1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3">
      <c r="A396" s="1"/>
      <c r="B396" s="14"/>
      <c r="C396" s="1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3">
      <c r="A397" s="1"/>
      <c r="B397" s="14"/>
      <c r="C397" s="1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3">
      <c r="A398" s="1"/>
      <c r="B398" s="14"/>
      <c r="C398" s="1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3">
      <c r="A399" s="1"/>
      <c r="B399" s="14"/>
      <c r="C399" s="1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3">
      <c r="A400" s="1"/>
      <c r="B400" s="14"/>
      <c r="C400" s="1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3">
      <c r="A401" s="1"/>
      <c r="B401" s="14"/>
      <c r="C401" s="1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3">
      <c r="A402" s="1"/>
      <c r="B402" s="14"/>
      <c r="C402" s="1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3">
      <c r="A403" s="1"/>
      <c r="B403" s="14"/>
      <c r="C403" s="1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3">
      <c r="A404" s="1"/>
      <c r="B404" s="14"/>
      <c r="C404" s="1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3">
      <c r="A405" s="1"/>
      <c r="B405" s="14"/>
      <c r="C405" s="1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3">
      <c r="A406" s="1"/>
      <c r="B406" s="14"/>
      <c r="C406" s="1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3">
      <c r="A407" s="1"/>
      <c r="B407" s="14"/>
      <c r="C407" s="1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3">
      <c r="A408" s="1"/>
      <c r="B408" s="14"/>
      <c r="C408" s="1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3">
      <c r="A409" s="1"/>
      <c r="B409" s="14"/>
      <c r="C409" s="1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3">
      <c r="A410" s="1"/>
      <c r="B410" s="14"/>
      <c r="C410" s="1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3">
      <c r="A411" s="1"/>
      <c r="B411" s="14"/>
      <c r="C411" s="1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3">
      <c r="A412" s="1"/>
      <c r="B412" s="14"/>
      <c r="C412" s="1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3">
      <c r="A413" s="1"/>
      <c r="B413" s="14"/>
      <c r="C413" s="1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3">
      <c r="A414" s="1"/>
      <c r="B414" s="14"/>
      <c r="C414" s="1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3">
      <c r="A415" s="1"/>
      <c r="B415" s="14"/>
      <c r="C415" s="1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3">
      <c r="A416" s="1"/>
      <c r="B416" s="14"/>
      <c r="C416" s="1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3">
      <c r="A417" s="1"/>
      <c r="B417" s="14"/>
      <c r="C417" s="1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3">
      <c r="A418" s="1"/>
      <c r="B418" s="14"/>
      <c r="C418" s="1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3">
      <c r="A419" s="1"/>
      <c r="B419" s="14"/>
      <c r="C419" s="1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3">
      <c r="A420" s="1"/>
      <c r="B420" s="14"/>
      <c r="C420" s="1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3">
      <c r="A421" s="1"/>
      <c r="B421" s="14"/>
      <c r="C421" s="1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3">
      <c r="A422" s="1"/>
      <c r="B422" s="14"/>
      <c r="C422" s="1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3">
      <c r="A423" s="1"/>
      <c r="B423" s="14"/>
      <c r="C423" s="1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3">
      <c r="A424" s="1"/>
      <c r="B424" s="14"/>
      <c r="C424" s="1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3">
      <c r="A425" s="1"/>
      <c r="B425" s="14"/>
      <c r="C425" s="1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3">
      <c r="A426" s="1"/>
      <c r="B426" s="14"/>
      <c r="C426" s="1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3">
      <c r="A427" s="1"/>
      <c r="B427" s="14"/>
      <c r="C427" s="1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3">
      <c r="A428" s="1"/>
      <c r="B428" s="14"/>
      <c r="C428" s="1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3">
      <c r="A429" s="1"/>
      <c r="B429" s="14"/>
      <c r="C429" s="1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3">
      <c r="A430" s="1"/>
      <c r="B430" s="14"/>
      <c r="C430" s="1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3">
      <c r="A431" s="1"/>
      <c r="B431" s="14"/>
      <c r="C431" s="1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3">
      <c r="A432" s="1"/>
      <c r="B432" s="14"/>
      <c r="C432" s="1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3">
      <c r="A433" s="1"/>
      <c r="B433" s="14"/>
      <c r="C433" s="1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3">
      <c r="A434" s="1"/>
      <c r="B434" s="14"/>
      <c r="C434" s="1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3">
      <c r="A435" s="1"/>
      <c r="B435" s="14"/>
      <c r="C435" s="1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3">
      <c r="A436" s="1"/>
      <c r="B436" s="14"/>
      <c r="C436" s="1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3">
      <c r="A437" s="1"/>
      <c r="B437" s="14"/>
      <c r="C437" s="1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3">
      <c r="A438" s="1"/>
      <c r="B438" s="14"/>
      <c r="C438" s="1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3">
      <c r="A439" s="1"/>
      <c r="B439" s="14"/>
      <c r="C439" s="1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3">
      <c r="A440" s="1"/>
      <c r="B440" s="14"/>
      <c r="C440" s="1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3">
      <c r="A441" s="1"/>
      <c r="B441" s="14"/>
      <c r="C441" s="1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3">
      <c r="A442" s="1"/>
      <c r="B442" s="14"/>
      <c r="C442" s="1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3">
      <c r="A443" s="1"/>
      <c r="B443" s="14"/>
      <c r="C443" s="1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3">
      <c r="A444" s="1"/>
      <c r="B444" s="14"/>
      <c r="C444" s="1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3">
      <c r="A445" s="1"/>
      <c r="B445" s="14"/>
      <c r="C445" s="1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3">
      <c r="A446" s="1"/>
      <c r="B446" s="14"/>
      <c r="C446" s="1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3">
      <c r="A447" s="1"/>
      <c r="B447" s="14"/>
      <c r="C447" s="1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3">
      <c r="A448" s="1"/>
      <c r="B448" s="14"/>
      <c r="C448" s="1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3">
      <c r="A449" s="1"/>
      <c r="B449" s="14"/>
      <c r="C449" s="1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3">
      <c r="A450" s="1"/>
      <c r="B450" s="14"/>
      <c r="C450" s="1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3">
      <c r="A451" s="1"/>
      <c r="B451" s="14"/>
      <c r="C451" s="1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3">
      <c r="A452" s="1"/>
      <c r="B452" s="14"/>
      <c r="C452" s="1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3">
      <c r="A453" s="1"/>
      <c r="B453" s="14"/>
      <c r="C453" s="1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3">
      <c r="A454" s="1"/>
      <c r="B454" s="14"/>
      <c r="C454" s="1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3">
      <c r="A455" s="1"/>
      <c r="B455" s="14"/>
      <c r="C455" s="1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3">
      <c r="A456" s="1"/>
      <c r="B456" s="14"/>
      <c r="C456" s="1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3">
      <c r="A457" s="1"/>
      <c r="B457" s="14"/>
      <c r="C457" s="1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3">
      <c r="A458" s="1"/>
      <c r="B458" s="14"/>
      <c r="C458" s="1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3">
      <c r="A459" s="1"/>
      <c r="B459" s="14"/>
      <c r="C459" s="1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3">
      <c r="A460" s="1"/>
      <c r="B460" s="14"/>
      <c r="C460" s="1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3">
      <c r="A461" s="1"/>
      <c r="B461" s="14"/>
      <c r="C461" s="1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3">
      <c r="A462" s="1"/>
      <c r="B462" s="14"/>
      <c r="C462" s="1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3">
      <c r="A463" s="1"/>
      <c r="B463" s="14"/>
      <c r="C463" s="1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3">
      <c r="A464" s="1"/>
      <c r="B464" s="14"/>
      <c r="C464" s="1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3">
      <c r="A465" s="1"/>
      <c r="B465" s="14"/>
      <c r="C465" s="1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3">
      <c r="A466" s="1"/>
      <c r="B466" s="14"/>
      <c r="C466" s="1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3">
      <c r="A467" s="1"/>
      <c r="B467" s="14"/>
      <c r="C467" s="1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3">
      <c r="A468" s="1"/>
      <c r="B468" s="14"/>
      <c r="C468" s="1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3">
      <c r="A469" s="1"/>
      <c r="B469" s="14"/>
      <c r="C469" s="1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3">
      <c r="A470" s="1"/>
      <c r="B470" s="14"/>
      <c r="C470" s="1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3">
      <c r="A471" s="1"/>
      <c r="B471" s="14"/>
      <c r="C471" s="1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3">
      <c r="A472" s="1"/>
      <c r="B472" s="14"/>
      <c r="C472" s="1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3">
      <c r="A473" s="1"/>
      <c r="B473" s="14"/>
      <c r="C473" s="1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3">
      <c r="A474" s="1"/>
      <c r="B474" s="14"/>
      <c r="C474" s="1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3">
      <c r="A475" s="1"/>
      <c r="B475" s="14"/>
      <c r="C475" s="1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3">
      <c r="A476" s="1"/>
      <c r="B476" s="14"/>
      <c r="C476" s="1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3">
      <c r="A477" s="1"/>
      <c r="B477" s="14"/>
      <c r="C477" s="1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3">
      <c r="A478" s="1"/>
      <c r="B478" s="14"/>
      <c r="C478" s="1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3">
      <c r="A479" s="1"/>
      <c r="B479" s="14"/>
      <c r="C479" s="1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3">
      <c r="A480" s="1"/>
      <c r="B480" s="14"/>
      <c r="C480" s="1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3">
      <c r="A481" s="1"/>
      <c r="B481" s="14"/>
      <c r="C481" s="1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3">
      <c r="A482" s="1"/>
      <c r="B482" s="14"/>
      <c r="C482" s="1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3">
      <c r="A483" s="1"/>
      <c r="B483" s="14"/>
      <c r="C483" s="1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3">
      <c r="A484" s="1"/>
      <c r="B484" s="14"/>
      <c r="C484" s="1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3">
      <c r="A485" s="1"/>
      <c r="B485" s="14"/>
      <c r="C485" s="1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3">
      <c r="A486" s="1"/>
      <c r="B486" s="14"/>
      <c r="C486" s="1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3">
      <c r="A487" s="1"/>
      <c r="B487" s="14"/>
      <c r="C487" s="1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3">
      <c r="A488" s="1"/>
      <c r="B488" s="14"/>
      <c r="C488" s="1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3">
      <c r="A489" s="1"/>
      <c r="B489" s="14"/>
      <c r="C489" s="1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3">
      <c r="A490" s="1"/>
      <c r="B490" s="14"/>
      <c r="C490" s="1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3">
      <c r="A491" s="1"/>
      <c r="B491" s="14"/>
      <c r="C491" s="1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3">
      <c r="A492" s="1"/>
      <c r="B492" s="14"/>
      <c r="C492" s="1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3">
      <c r="A493" s="1"/>
      <c r="B493" s="14"/>
      <c r="C493" s="1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3">
      <c r="A494" s="1"/>
      <c r="B494" s="14"/>
      <c r="C494" s="1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3">
      <c r="A495" s="1"/>
      <c r="B495" s="14"/>
      <c r="C495" s="1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3">
      <c r="A496" s="1"/>
      <c r="B496" s="14"/>
      <c r="C496" s="1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3">
      <c r="A497" s="1"/>
      <c r="B497" s="14"/>
      <c r="C497" s="1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3">
      <c r="A498" s="1"/>
      <c r="B498" s="14"/>
      <c r="C498" s="1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3">
      <c r="A499" s="1"/>
      <c r="B499" s="14"/>
      <c r="C499" s="1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3">
      <c r="A500" s="1"/>
      <c r="B500" s="14"/>
      <c r="C500" s="1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3">
      <c r="A501" s="1"/>
      <c r="B501" s="14"/>
      <c r="C501" s="1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3">
      <c r="A502" s="1"/>
      <c r="B502" s="14"/>
      <c r="C502" s="1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3">
      <c r="A503" s="1"/>
      <c r="B503" s="14"/>
      <c r="C503" s="1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3">
      <c r="A504" s="1"/>
      <c r="B504" s="14"/>
      <c r="C504" s="1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3">
      <c r="A505" s="1"/>
      <c r="B505" s="14"/>
      <c r="C505" s="1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3">
      <c r="A506" s="1"/>
      <c r="B506" s="14"/>
      <c r="C506" s="1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3">
      <c r="A507" s="1"/>
      <c r="B507" s="14"/>
      <c r="C507" s="1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3">
      <c r="A508" s="1"/>
      <c r="B508" s="14"/>
      <c r="C508" s="1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3">
      <c r="A509" s="1"/>
      <c r="B509" s="14"/>
      <c r="C509" s="1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3">
      <c r="A510" s="1"/>
      <c r="B510" s="14"/>
      <c r="C510" s="1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3">
      <c r="A511" s="1"/>
      <c r="B511" s="14"/>
      <c r="C511" s="1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3">
      <c r="A512" s="1"/>
      <c r="B512" s="14"/>
      <c r="C512" s="1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3">
      <c r="A513" s="1"/>
      <c r="B513" s="14"/>
      <c r="C513" s="1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3">
      <c r="A514" s="1"/>
      <c r="B514" s="14"/>
      <c r="C514" s="1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3">
      <c r="A515" s="1"/>
      <c r="B515" s="14"/>
      <c r="C515" s="1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3">
      <c r="A516" s="1"/>
      <c r="B516" s="14"/>
      <c r="C516" s="1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3">
      <c r="A517" s="1"/>
      <c r="B517" s="14"/>
      <c r="C517" s="1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3">
      <c r="A518" s="1"/>
      <c r="B518" s="14"/>
      <c r="C518" s="1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3">
      <c r="A519" s="1"/>
      <c r="B519" s="14"/>
      <c r="C519" s="1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3">
      <c r="A520" s="1"/>
      <c r="B520" s="14"/>
      <c r="C520" s="1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3">
      <c r="A521" s="1"/>
      <c r="B521" s="14"/>
      <c r="C521" s="1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3">
      <c r="A522" s="1"/>
      <c r="B522" s="14"/>
      <c r="C522" s="1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3">
      <c r="A523" s="1"/>
      <c r="B523" s="14"/>
      <c r="C523" s="1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3">
      <c r="A524" s="1"/>
      <c r="B524" s="14"/>
      <c r="C524" s="1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3">
      <c r="A525" s="1"/>
      <c r="B525" s="14"/>
      <c r="C525" s="1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3">
      <c r="A526" s="1"/>
      <c r="B526" s="14"/>
      <c r="C526" s="1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3">
      <c r="A527" s="1"/>
      <c r="B527" s="14"/>
      <c r="C527" s="1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3">
      <c r="A528" s="1"/>
      <c r="B528" s="14"/>
      <c r="C528" s="1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3">
      <c r="A529" s="1"/>
      <c r="B529" s="14"/>
      <c r="C529" s="1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3">
      <c r="A530" s="1"/>
      <c r="B530" s="14"/>
      <c r="C530" s="1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3">
      <c r="A531" s="1"/>
      <c r="B531" s="14"/>
      <c r="C531" s="1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3">
      <c r="A532" s="1"/>
      <c r="B532" s="14"/>
      <c r="C532" s="1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3">
      <c r="A533" s="1"/>
      <c r="B533" s="14"/>
      <c r="C533" s="1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3">
      <c r="A534" s="1"/>
      <c r="B534" s="14"/>
      <c r="C534" s="1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3">
      <c r="A535" s="1"/>
      <c r="B535" s="14"/>
      <c r="C535" s="1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3">
      <c r="A536" s="1"/>
      <c r="B536" s="14"/>
      <c r="C536" s="1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3">
      <c r="A537" s="1"/>
      <c r="B537" s="14"/>
      <c r="C537" s="1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3">
      <c r="A538" s="1"/>
      <c r="B538" s="14"/>
      <c r="C538" s="1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3">
      <c r="A539" s="1"/>
      <c r="B539" s="14"/>
      <c r="C539" s="1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3">
      <c r="A540" s="1"/>
      <c r="B540" s="14"/>
      <c r="C540" s="1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3">
      <c r="A541" s="1"/>
      <c r="B541" s="14"/>
      <c r="C541" s="1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3">
      <c r="A542" s="1"/>
      <c r="B542" s="14"/>
      <c r="C542" s="1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3">
      <c r="A543" s="1"/>
      <c r="B543" s="14"/>
      <c r="C543" s="1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3">
      <c r="A544" s="1"/>
      <c r="B544" s="14"/>
      <c r="C544" s="1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3">
      <c r="A545" s="1"/>
      <c r="B545" s="14"/>
      <c r="C545" s="1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3">
      <c r="A546" s="1"/>
      <c r="B546" s="14"/>
      <c r="C546" s="1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3">
      <c r="A547" s="1"/>
      <c r="B547" s="14"/>
      <c r="C547" s="1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3">
      <c r="A548" s="1"/>
      <c r="B548" s="14"/>
      <c r="C548" s="1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3">
      <c r="A549" s="1"/>
      <c r="B549" s="14"/>
      <c r="C549" s="1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3">
      <c r="A550" s="1"/>
      <c r="B550" s="14"/>
      <c r="C550" s="1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3">
      <c r="A551" s="1"/>
      <c r="B551" s="14"/>
      <c r="C551" s="1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3">
      <c r="A552" s="1"/>
      <c r="B552" s="14"/>
      <c r="C552" s="1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3">
      <c r="A553" s="1"/>
      <c r="B553" s="14"/>
      <c r="C553" s="1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3">
      <c r="A554" s="1"/>
      <c r="B554" s="14"/>
      <c r="C554" s="1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3">
      <c r="A555" s="1"/>
      <c r="B555" s="14"/>
      <c r="C555" s="1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3">
      <c r="A556" s="1"/>
      <c r="B556" s="14"/>
      <c r="C556" s="1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3">
      <c r="A557" s="1"/>
      <c r="B557" s="14"/>
      <c r="C557" s="1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3">
      <c r="A558" s="1"/>
      <c r="B558" s="14"/>
      <c r="C558" s="1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3">
      <c r="A559" s="1"/>
      <c r="B559" s="14"/>
      <c r="C559" s="1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3">
      <c r="A560" s="1"/>
      <c r="B560" s="14"/>
      <c r="C560" s="1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3">
      <c r="A561" s="1"/>
      <c r="B561" s="14"/>
      <c r="C561" s="1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3">
      <c r="A562" s="1"/>
      <c r="B562" s="14"/>
      <c r="C562" s="1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3">
      <c r="A563" s="1"/>
      <c r="B563" s="14"/>
      <c r="C563" s="1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3">
      <c r="A564" s="1"/>
      <c r="B564" s="14"/>
      <c r="C564" s="1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3">
      <c r="A565" s="1"/>
      <c r="B565" s="14"/>
      <c r="C565" s="1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3">
      <c r="A566" s="1"/>
      <c r="B566" s="14"/>
      <c r="C566" s="1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3">
      <c r="A567" s="1"/>
      <c r="B567" s="14"/>
      <c r="C567" s="1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3">
      <c r="A568" s="1"/>
      <c r="B568" s="14"/>
      <c r="C568" s="1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3">
      <c r="A569" s="1"/>
      <c r="B569" s="14"/>
      <c r="C569" s="1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3">
      <c r="A570" s="1"/>
      <c r="B570" s="14"/>
      <c r="C570" s="1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3">
      <c r="A571" s="1"/>
      <c r="B571" s="14"/>
      <c r="C571" s="1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3">
      <c r="A572" s="1"/>
      <c r="B572" s="14"/>
      <c r="C572" s="1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3">
      <c r="A573" s="1"/>
      <c r="B573" s="14"/>
      <c r="C573" s="1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3">
      <c r="A574" s="1"/>
      <c r="B574" s="14"/>
      <c r="C574" s="1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3">
      <c r="A575" s="1"/>
      <c r="B575" s="14"/>
      <c r="C575" s="1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3">
      <c r="A576" s="1"/>
      <c r="B576" s="14"/>
      <c r="C576" s="1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3">
      <c r="A577" s="1"/>
      <c r="B577" s="14"/>
      <c r="C577" s="1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3">
      <c r="A578" s="1"/>
      <c r="B578" s="14"/>
      <c r="C578" s="1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3">
      <c r="A579" s="1"/>
      <c r="B579" s="14"/>
      <c r="C579" s="1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3">
      <c r="A580" s="1"/>
      <c r="B580" s="14"/>
      <c r="C580" s="1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3">
      <c r="A581" s="1"/>
      <c r="B581" s="14"/>
      <c r="C581" s="1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3">
      <c r="A582" s="1"/>
      <c r="B582" s="14"/>
      <c r="C582" s="1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3">
      <c r="A583" s="1"/>
      <c r="B583" s="14"/>
      <c r="C583" s="1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3">
      <c r="A584" s="1"/>
      <c r="B584" s="14"/>
      <c r="C584" s="1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3">
      <c r="A585" s="1"/>
      <c r="B585" s="14"/>
      <c r="C585" s="1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3">
      <c r="A586" s="1"/>
      <c r="B586" s="14"/>
      <c r="C586" s="1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3">
      <c r="A587" s="1"/>
      <c r="B587" s="14"/>
      <c r="C587" s="1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3">
      <c r="A588" s="1"/>
      <c r="B588" s="14"/>
      <c r="C588" s="1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3">
      <c r="A589" s="1"/>
      <c r="B589" s="14"/>
      <c r="C589" s="1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3">
      <c r="A590" s="1"/>
      <c r="B590" s="14"/>
      <c r="C590" s="1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3">
      <c r="A591" s="1"/>
      <c r="B591" s="14"/>
      <c r="C591" s="1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3">
      <c r="A592" s="1"/>
      <c r="B592" s="14"/>
      <c r="C592" s="1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3">
      <c r="A593" s="1"/>
      <c r="B593" s="14"/>
      <c r="C593" s="1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3">
      <c r="A594" s="1"/>
      <c r="B594" s="14"/>
      <c r="C594" s="1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3">
      <c r="A595" s="1"/>
      <c r="B595" s="14"/>
      <c r="C595" s="1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3">
      <c r="A596" s="1"/>
      <c r="B596" s="14"/>
      <c r="C596" s="1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3">
      <c r="A597" s="1"/>
      <c r="B597" s="14"/>
      <c r="C597" s="1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3">
      <c r="A598" s="1"/>
      <c r="B598" s="14"/>
      <c r="C598" s="1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3">
      <c r="A599" s="1"/>
      <c r="B599" s="14"/>
      <c r="C599" s="1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3">
      <c r="A600" s="1"/>
      <c r="B600" s="14"/>
      <c r="C600" s="1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3">
      <c r="A601" s="1"/>
      <c r="B601" s="14"/>
      <c r="C601" s="1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3">
      <c r="A602" s="1"/>
      <c r="B602" s="14"/>
      <c r="C602" s="1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3">
      <c r="A603" s="1"/>
      <c r="B603" s="14"/>
      <c r="C603" s="1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3">
      <c r="A604" s="1"/>
      <c r="B604" s="14"/>
      <c r="C604" s="1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3">
      <c r="A605" s="1"/>
      <c r="B605" s="14"/>
      <c r="C605" s="1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3">
      <c r="A606" s="1"/>
      <c r="B606" s="14"/>
      <c r="C606" s="1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3">
      <c r="A607" s="1"/>
      <c r="B607" s="14"/>
      <c r="C607" s="1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3">
      <c r="A608" s="1"/>
      <c r="B608" s="14"/>
      <c r="C608" s="1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3">
      <c r="A609" s="1"/>
      <c r="B609" s="14"/>
      <c r="C609" s="1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3">
      <c r="A610" s="1"/>
      <c r="B610" s="14"/>
      <c r="C610" s="1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3">
      <c r="A611" s="1"/>
      <c r="B611" s="14"/>
      <c r="C611" s="1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3">
      <c r="A612" s="1"/>
      <c r="B612" s="14"/>
      <c r="C612" s="1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3">
      <c r="A613" s="1"/>
      <c r="B613" s="14"/>
      <c r="C613" s="1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3">
      <c r="A614" s="1"/>
      <c r="B614" s="14"/>
      <c r="C614" s="1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3">
      <c r="A615" s="1"/>
      <c r="B615" s="14"/>
      <c r="C615" s="1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3">
      <c r="A616" s="1"/>
      <c r="B616" s="14"/>
      <c r="C616" s="1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3">
      <c r="A617" s="1"/>
      <c r="B617" s="14"/>
      <c r="C617" s="1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3">
      <c r="A618" s="1"/>
      <c r="B618" s="14"/>
      <c r="C618" s="1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3">
      <c r="A619" s="1"/>
      <c r="B619" s="14"/>
      <c r="C619" s="1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3">
      <c r="A620" s="1"/>
      <c r="B620" s="14"/>
      <c r="C620" s="1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3">
      <c r="A621" s="1"/>
      <c r="B621" s="14"/>
      <c r="C621" s="1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3">
      <c r="A622" s="1"/>
      <c r="B622" s="14"/>
      <c r="C622" s="1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3">
      <c r="A623" s="1"/>
      <c r="B623" s="14"/>
      <c r="C623" s="1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3">
      <c r="A624" s="1"/>
      <c r="B624" s="14"/>
      <c r="C624" s="1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3">
      <c r="A625" s="1"/>
      <c r="B625" s="14"/>
      <c r="C625" s="1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3">
      <c r="A626" s="1"/>
      <c r="B626" s="14"/>
      <c r="C626" s="1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3">
      <c r="A627" s="1"/>
      <c r="B627" s="14"/>
      <c r="C627" s="1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3">
      <c r="A628" s="1"/>
      <c r="B628" s="14"/>
      <c r="C628" s="1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3">
      <c r="A629" s="1"/>
      <c r="B629" s="14"/>
      <c r="C629" s="1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3">
      <c r="A630" s="1"/>
      <c r="B630" s="14"/>
      <c r="C630" s="1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3">
      <c r="A631" s="1"/>
      <c r="B631" s="14"/>
      <c r="C631" s="1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3">
      <c r="A632" s="1"/>
      <c r="B632" s="14"/>
      <c r="C632" s="1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3">
      <c r="A633" s="1"/>
      <c r="B633" s="14"/>
      <c r="C633" s="1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3">
      <c r="A634" s="1"/>
      <c r="B634" s="14"/>
      <c r="C634" s="1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3">
      <c r="A635" s="1"/>
      <c r="B635" s="14"/>
      <c r="C635" s="1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3">
      <c r="A636" s="1"/>
      <c r="B636" s="14"/>
      <c r="C636" s="1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3">
      <c r="A637" s="1"/>
      <c r="B637" s="14"/>
      <c r="C637" s="1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3">
      <c r="A638" s="1"/>
      <c r="B638" s="14"/>
      <c r="C638" s="1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3">
      <c r="A639" s="1"/>
      <c r="B639" s="14"/>
      <c r="C639" s="1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3">
      <c r="A640" s="1"/>
      <c r="B640" s="14"/>
      <c r="C640" s="1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3">
      <c r="A641" s="1"/>
      <c r="B641" s="14"/>
      <c r="C641" s="1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3">
      <c r="A642" s="1"/>
      <c r="B642" s="14"/>
      <c r="C642" s="1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3">
      <c r="A643" s="1"/>
      <c r="B643" s="14"/>
      <c r="C643" s="1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3">
      <c r="A644" s="1"/>
      <c r="B644" s="14"/>
      <c r="C644" s="1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3">
      <c r="A645" s="1"/>
      <c r="B645" s="14"/>
      <c r="C645" s="1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3">
      <c r="A646" s="1"/>
      <c r="B646" s="14"/>
      <c r="C646" s="1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3">
      <c r="A647" s="1"/>
      <c r="B647" s="14"/>
      <c r="C647" s="1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3">
      <c r="A648" s="1"/>
      <c r="B648" s="14"/>
      <c r="C648" s="1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3">
      <c r="A649" s="1"/>
      <c r="B649" s="14"/>
      <c r="C649" s="1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3">
      <c r="A650" s="1"/>
      <c r="B650" s="14"/>
      <c r="C650" s="1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3">
      <c r="A651" s="1"/>
      <c r="B651" s="14"/>
      <c r="C651" s="1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3">
      <c r="A652" s="1"/>
      <c r="B652" s="14"/>
      <c r="C652" s="1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3">
      <c r="A653" s="1"/>
      <c r="B653" s="14"/>
      <c r="C653" s="1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3">
      <c r="A654" s="1"/>
      <c r="B654" s="14"/>
      <c r="C654" s="1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3">
      <c r="A655" s="1"/>
      <c r="B655" s="14"/>
      <c r="C655" s="1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3">
      <c r="A656" s="1"/>
      <c r="B656" s="14"/>
      <c r="C656" s="1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3">
      <c r="A657" s="1"/>
      <c r="B657" s="14"/>
      <c r="C657" s="1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3">
      <c r="A658" s="1"/>
      <c r="B658" s="14"/>
      <c r="C658" s="1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3">
      <c r="A659" s="1"/>
      <c r="B659" s="14"/>
      <c r="C659" s="1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3">
      <c r="A660" s="1"/>
      <c r="B660" s="14"/>
      <c r="C660" s="1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3">
      <c r="A661" s="1"/>
      <c r="B661" s="14"/>
      <c r="C661" s="1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3">
      <c r="A662" s="1"/>
      <c r="B662" s="14"/>
      <c r="C662" s="1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3">
      <c r="A663" s="1"/>
      <c r="B663" s="14"/>
      <c r="C663" s="1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3">
      <c r="A664" s="1"/>
      <c r="B664" s="14"/>
      <c r="C664" s="1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3">
      <c r="A665" s="1"/>
      <c r="B665" s="14"/>
      <c r="C665" s="1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3">
      <c r="A666" s="1"/>
      <c r="B666" s="14"/>
      <c r="C666" s="1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3">
      <c r="A667" s="1"/>
      <c r="B667" s="14"/>
      <c r="C667" s="1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3">
      <c r="A668" s="1"/>
      <c r="B668" s="14"/>
      <c r="C668" s="1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3">
      <c r="A669" s="1"/>
      <c r="B669" s="14"/>
      <c r="C669" s="1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3">
      <c r="A670" s="1"/>
      <c r="B670" s="14"/>
      <c r="C670" s="1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3">
      <c r="A671" s="1"/>
      <c r="B671" s="14"/>
      <c r="C671" s="1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3">
      <c r="A672" s="1"/>
      <c r="B672" s="14"/>
      <c r="C672" s="1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3">
      <c r="A673" s="1"/>
      <c r="B673" s="14"/>
      <c r="C673" s="1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3">
      <c r="A674" s="1"/>
      <c r="B674" s="14"/>
      <c r="C674" s="1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3">
      <c r="A675" s="1"/>
      <c r="B675" s="14"/>
      <c r="C675" s="1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3">
      <c r="A676" s="1"/>
      <c r="B676" s="14"/>
      <c r="C676" s="1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3">
      <c r="A677" s="1"/>
      <c r="B677" s="14"/>
      <c r="C677" s="1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3">
      <c r="A678" s="1"/>
      <c r="B678" s="14"/>
      <c r="C678" s="1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3">
      <c r="A679" s="1"/>
      <c r="B679" s="14"/>
      <c r="C679" s="1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3">
      <c r="A680" s="1"/>
      <c r="B680" s="14"/>
      <c r="C680" s="1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3">
      <c r="A681" s="1"/>
      <c r="B681" s="14"/>
      <c r="C681" s="1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3">
      <c r="A682" s="1"/>
      <c r="B682" s="14"/>
      <c r="C682" s="1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3">
      <c r="A683" s="1"/>
      <c r="B683" s="14"/>
      <c r="C683" s="1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3">
      <c r="A684" s="1"/>
      <c r="B684" s="14"/>
      <c r="C684" s="1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3">
      <c r="A685" s="1"/>
      <c r="B685" s="14"/>
      <c r="C685" s="1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3">
      <c r="A686" s="1"/>
      <c r="B686" s="14"/>
      <c r="C686" s="1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3">
      <c r="A687" s="1"/>
      <c r="B687" s="14"/>
      <c r="C687" s="1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3">
      <c r="A688" s="1"/>
      <c r="B688" s="14"/>
      <c r="C688" s="1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3">
      <c r="A689" s="1"/>
      <c r="B689" s="14"/>
      <c r="C689" s="1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3">
      <c r="A690" s="1"/>
      <c r="B690" s="14"/>
      <c r="C690" s="1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3">
      <c r="A691" s="1"/>
      <c r="B691" s="14"/>
      <c r="C691" s="1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3">
      <c r="A692" s="1"/>
      <c r="B692" s="14"/>
      <c r="C692" s="1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3">
      <c r="A693" s="1"/>
      <c r="B693" s="14"/>
      <c r="C693" s="1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3">
      <c r="A694" s="1"/>
      <c r="B694" s="14"/>
      <c r="C694" s="1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3">
      <c r="A695" s="1"/>
      <c r="B695" s="14"/>
      <c r="C695" s="1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3">
      <c r="A696" s="1"/>
      <c r="B696" s="14"/>
      <c r="C696" s="1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3">
      <c r="A697" s="1"/>
      <c r="B697" s="14"/>
      <c r="C697" s="1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3">
      <c r="A698" s="1"/>
      <c r="B698" s="14"/>
      <c r="C698" s="1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3">
      <c r="A699" s="1"/>
      <c r="B699" s="14"/>
      <c r="C699" s="1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3">
      <c r="A700" s="1"/>
      <c r="B700" s="14"/>
      <c r="C700" s="1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3">
      <c r="A701" s="1"/>
      <c r="B701" s="14"/>
      <c r="C701" s="1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3">
      <c r="A702" s="1"/>
      <c r="B702" s="14"/>
      <c r="C702" s="1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3">
      <c r="A703" s="1"/>
      <c r="B703" s="14"/>
      <c r="C703" s="1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3">
      <c r="A704" s="1"/>
      <c r="B704" s="14"/>
      <c r="C704" s="1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3">
      <c r="A705" s="1"/>
      <c r="B705" s="14"/>
      <c r="C705" s="1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3">
      <c r="A706" s="1"/>
      <c r="B706" s="14"/>
      <c r="C706" s="1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3">
      <c r="A707" s="1"/>
      <c r="B707" s="14"/>
      <c r="C707" s="1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3">
      <c r="A708" s="1"/>
      <c r="B708" s="14"/>
      <c r="C708" s="1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3">
      <c r="A709" s="1"/>
      <c r="B709" s="14"/>
      <c r="C709" s="1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3">
      <c r="A710" s="1"/>
      <c r="B710" s="14"/>
      <c r="C710" s="1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3">
      <c r="A711" s="1"/>
      <c r="B711" s="14"/>
      <c r="C711" s="1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3">
      <c r="A712" s="1"/>
      <c r="B712" s="14"/>
      <c r="C712" s="1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3">
      <c r="A713" s="1"/>
      <c r="B713" s="14"/>
      <c r="C713" s="1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3">
      <c r="A714" s="1"/>
      <c r="B714" s="14"/>
      <c r="C714" s="1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3">
      <c r="A715" s="1"/>
      <c r="B715" s="14"/>
      <c r="C715" s="1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3">
      <c r="A716" s="1"/>
      <c r="B716" s="14"/>
      <c r="C716" s="1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3">
      <c r="A717" s="1"/>
      <c r="B717" s="14"/>
      <c r="C717" s="1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3">
      <c r="A718" s="1"/>
      <c r="B718" s="14"/>
      <c r="C718" s="1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3">
      <c r="A719" s="1"/>
      <c r="B719" s="14"/>
      <c r="C719" s="1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3">
      <c r="A720" s="1"/>
      <c r="B720" s="14"/>
      <c r="C720" s="1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3">
      <c r="A721" s="1"/>
      <c r="B721" s="14"/>
      <c r="C721" s="1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3">
      <c r="A722" s="1"/>
      <c r="B722" s="14"/>
      <c r="C722" s="1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3">
      <c r="A723" s="1"/>
      <c r="B723" s="14"/>
      <c r="C723" s="1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3">
      <c r="A724" s="1"/>
      <c r="B724" s="14"/>
      <c r="C724" s="1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3">
      <c r="A725" s="1"/>
      <c r="B725" s="14"/>
      <c r="C725" s="1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3">
      <c r="A726" s="1"/>
      <c r="B726" s="14"/>
      <c r="C726" s="1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3">
      <c r="A727" s="1"/>
      <c r="B727" s="14"/>
      <c r="C727" s="1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3">
      <c r="A728" s="1"/>
      <c r="B728" s="14"/>
      <c r="C728" s="1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3">
      <c r="A729" s="1"/>
      <c r="B729" s="14"/>
      <c r="C729" s="1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3">
      <c r="A730" s="1"/>
      <c r="B730" s="14"/>
      <c r="C730" s="1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3">
      <c r="A731" s="1"/>
      <c r="B731" s="14"/>
      <c r="C731" s="1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3">
      <c r="A732" s="1"/>
      <c r="B732" s="14"/>
      <c r="C732" s="1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3">
      <c r="A733" s="1"/>
      <c r="B733" s="14"/>
      <c r="C733" s="1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3">
      <c r="A734" s="1"/>
      <c r="B734" s="14"/>
      <c r="C734" s="1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3">
      <c r="A735" s="1"/>
      <c r="B735" s="14"/>
      <c r="C735" s="1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3">
      <c r="A736" s="1"/>
      <c r="B736" s="14"/>
      <c r="C736" s="1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3">
      <c r="A737" s="1"/>
      <c r="B737" s="14"/>
      <c r="C737" s="1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3">
      <c r="A738" s="1"/>
      <c r="B738" s="14"/>
      <c r="C738" s="1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3">
      <c r="A739" s="1"/>
      <c r="B739" s="14"/>
      <c r="C739" s="1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3">
      <c r="A740" s="1"/>
      <c r="B740" s="14"/>
      <c r="C740" s="1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3">
      <c r="A741" s="1"/>
      <c r="B741" s="14"/>
      <c r="C741" s="1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3">
      <c r="A742" s="1"/>
      <c r="B742" s="14"/>
      <c r="C742" s="1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3">
      <c r="A743" s="1"/>
      <c r="B743" s="14"/>
      <c r="C743" s="1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3">
      <c r="A744" s="1"/>
      <c r="B744" s="14"/>
      <c r="C744" s="1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3">
      <c r="A745" s="1"/>
      <c r="B745" s="14"/>
      <c r="C745" s="1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3">
      <c r="A746" s="1"/>
      <c r="B746" s="14"/>
      <c r="C746" s="1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3">
      <c r="A747" s="1"/>
      <c r="B747" s="14"/>
      <c r="C747" s="1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3">
      <c r="A748" s="1"/>
      <c r="B748" s="14"/>
      <c r="C748" s="1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3">
      <c r="A749" s="1"/>
      <c r="B749" s="14"/>
      <c r="C749" s="1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3">
      <c r="A750" s="1"/>
      <c r="B750" s="14"/>
      <c r="C750" s="1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3">
      <c r="A751" s="1"/>
      <c r="B751" s="14"/>
      <c r="C751" s="1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3">
      <c r="A752" s="1"/>
      <c r="B752" s="14"/>
      <c r="C752" s="1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3">
      <c r="A753" s="1"/>
      <c r="B753" s="14"/>
      <c r="C753" s="1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3">
      <c r="A754" s="1"/>
      <c r="B754" s="14"/>
      <c r="C754" s="1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3">
      <c r="A755" s="1"/>
      <c r="B755" s="14"/>
      <c r="C755" s="1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3">
      <c r="A756" s="1"/>
      <c r="B756" s="14"/>
      <c r="C756" s="1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3">
      <c r="A757" s="1"/>
      <c r="B757" s="14"/>
      <c r="C757" s="1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3">
      <c r="A758" s="1"/>
      <c r="B758" s="14"/>
      <c r="C758" s="1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3">
      <c r="A759" s="1"/>
      <c r="B759" s="14"/>
      <c r="C759" s="1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3">
      <c r="A760" s="1"/>
      <c r="B760" s="14"/>
      <c r="C760" s="1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3">
      <c r="A761" s="1"/>
      <c r="B761" s="14"/>
      <c r="C761" s="1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3">
      <c r="A762" s="1"/>
      <c r="B762" s="14"/>
      <c r="C762" s="1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3">
      <c r="A763" s="1"/>
      <c r="B763" s="14"/>
      <c r="C763" s="1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3">
      <c r="A764" s="1"/>
      <c r="B764" s="14"/>
      <c r="C764" s="1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3">
      <c r="A765" s="1"/>
      <c r="B765" s="14"/>
      <c r="C765" s="1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3">
      <c r="A766" s="1"/>
      <c r="B766" s="14"/>
      <c r="C766" s="1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3">
      <c r="A767" s="1"/>
      <c r="B767" s="14"/>
      <c r="C767" s="1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3">
      <c r="A768" s="1"/>
      <c r="B768" s="14"/>
      <c r="C768" s="1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3">
      <c r="A769" s="1"/>
      <c r="B769" s="14"/>
      <c r="C769" s="1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3">
      <c r="A770" s="1"/>
      <c r="B770" s="14"/>
      <c r="C770" s="1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3">
      <c r="A771" s="1"/>
      <c r="B771" s="14"/>
      <c r="C771" s="1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3">
      <c r="A772" s="1"/>
      <c r="B772" s="14"/>
      <c r="C772" s="1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3">
      <c r="A773" s="1"/>
      <c r="B773" s="14"/>
      <c r="C773" s="1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3">
      <c r="A774" s="1"/>
      <c r="B774" s="14"/>
      <c r="C774" s="1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3">
      <c r="A775" s="1"/>
      <c r="B775" s="14"/>
      <c r="C775" s="1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3">
      <c r="A776" s="1"/>
      <c r="B776" s="14"/>
      <c r="C776" s="1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3">
      <c r="A777" s="1"/>
      <c r="B777" s="14"/>
      <c r="C777" s="1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3">
      <c r="A778" s="1"/>
      <c r="B778" s="14"/>
      <c r="C778" s="1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3">
      <c r="A779" s="1"/>
      <c r="B779" s="14"/>
      <c r="C779" s="1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3">
      <c r="A780" s="1"/>
      <c r="B780" s="14"/>
      <c r="C780" s="1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3">
      <c r="A781" s="1"/>
      <c r="B781" s="14"/>
      <c r="C781" s="1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3">
      <c r="A782" s="1"/>
      <c r="B782" s="14"/>
      <c r="C782" s="1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3">
      <c r="A783" s="1"/>
      <c r="B783" s="14"/>
      <c r="C783" s="1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3">
      <c r="A784" s="1"/>
      <c r="B784" s="14"/>
      <c r="C784" s="1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3">
      <c r="A785" s="1"/>
      <c r="B785" s="14"/>
      <c r="C785" s="1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3">
      <c r="A786" s="1"/>
      <c r="B786" s="14"/>
      <c r="C786" s="1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3">
      <c r="A787" s="1"/>
      <c r="B787" s="14"/>
      <c r="C787" s="1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3">
      <c r="A788" s="1"/>
      <c r="B788" s="14"/>
      <c r="C788" s="1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3">
      <c r="A789" s="1"/>
      <c r="B789" s="14"/>
      <c r="C789" s="1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3">
      <c r="A790" s="1"/>
      <c r="B790" s="14"/>
      <c r="C790" s="1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3">
      <c r="A791" s="1"/>
      <c r="B791" s="14"/>
      <c r="C791" s="1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3">
      <c r="A792" s="1"/>
      <c r="B792" s="14"/>
      <c r="C792" s="1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3">
      <c r="A793" s="1"/>
      <c r="B793" s="14"/>
      <c r="C793" s="1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3">
      <c r="A794" s="1"/>
      <c r="B794" s="14"/>
      <c r="C794" s="1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3">
      <c r="A795" s="1"/>
      <c r="B795" s="14"/>
      <c r="C795" s="1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3">
      <c r="A796" s="1"/>
      <c r="B796" s="14"/>
      <c r="C796" s="1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3">
      <c r="A797" s="1"/>
      <c r="B797" s="14"/>
      <c r="C797" s="1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3">
      <c r="A798" s="1"/>
      <c r="B798" s="14"/>
      <c r="C798" s="1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3">
      <c r="A799" s="1"/>
      <c r="B799" s="14"/>
      <c r="C799" s="1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3">
      <c r="A800" s="1"/>
      <c r="B800" s="14"/>
      <c r="C800" s="1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3">
      <c r="A801" s="1"/>
      <c r="B801" s="14"/>
      <c r="C801" s="1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3">
      <c r="A802" s="1"/>
      <c r="B802" s="14"/>
      <c r="C802" s="1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3">
      <c r="A803" s="1"/>
      <c r="B803" s="14"/>
      <c r="C803" s="1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3">
      <c r="A804" s="1"/>
      <c r="B804" s="14"/>
      <c r="C804" s="1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3">
      <c r="A805" s="1"/>
      <c r="B805" s="14"/>
      <c r="C805" s="1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3">
      <c r="A806" s="1"/>
      <c r="B806" s="14"/>
      <c r="C806" s="1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3">
      <c r="A807" s="1"/>
      <c r="B807" s="14"/>
      <c r="C807" s="1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3">
      <c r="A808" s="1"/>
      <c r="B808" s="14"/>
      <c r="C808" s="1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3">
      <c r="A809" s="1"/>
      <c r="B809" s="14"/>
      <c r="C809" s="1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3">
      <c r="A810" s="1"/>
      <c r="B810" s="14"/>
      <c r="C810" s="1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3">
      <c r="A811" s="1"/>
      <c r="B811" s="14"/>
      <c r="C811" s="1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3">
      <c r="A812" s="1"/>
      <c r="B812" s="14"/>
      <c r="C812" s="1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3">
      <c r="A813" s="1"/>
      <c r="B813" s="14"/>
      <c r="C813" s="1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3">
      <c r="A814" s="1"/>
      <c r="B814" s="14"/>
      <c r="C814" s="1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3">
      <c r="A815" s="1"/>
      <c r="B815" s="14"/>
      <c r="C815" s="1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3">
      <c r="A816" s="1"/>
      <c r="B816" s="14"/>
      <c r="C816" s="1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3">
      <c r="A817" s="1"/>
      <c r="B817" s="14"/>
      <c r="C817" s="1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3">
      <c r="A818" s="1"/>
      <c r="B818" s="14"/>
      <c r="C818" s="1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3">
      <c r="A819" s="1"/>
      <c r="B819" s="14"/>
      <c r="C819" s="1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3">
      <c r="A820" s="1"/>
      <c r="B820" s="14"/>
      <c r="C820" s="1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3">
      <c r="A821" s="1"/>
      <c r="B821" s="14"/>
      <c r="C821" s="1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3">
      <c r="A822" s="1"/>
      <c r="B822" s="14"/>
      <c r="C822" s="1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3">
      <c r="A823" s="1"/>
      <c r="B823" s="14"/>
      <c r="C823" s="1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3">
      <c r="A824" s="1"/>
      <c r="B824" s="14"/>
      <c r="C824" s="1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3">
      <c r="A825" s="1"/>
      <c r="B825" s="14"/>
      <c r="C825" s="1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3">
      <c r="A826" s="1"/>
      <c r="B826" s="14"/>
      <c r="C826" s="1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3">
      <c r="A827" s="1"/>
      <c r="B827" s="14"/>
      <c r="C827" s="1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3">
      <c r="A828" s="1"/>
      <c r="B828" s="14"/>
      <c r="C828" s="1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3">
      <c r="A829" s="1"/>
      <c r="B829" s="14"/>
      <c r="C829" s="1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3">
      <c r="A830" s="1"/>
      <c r="B830" s="14"/>
      <c r="C830" s="1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3">
      <c r="A831" s="1"/>
      <c r="B831" s="14"/>
      <c r="C831" s="1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3">
      <c r="A832" s="1"/>
      <c r="B832" s="14"/>
      <c r="C832" s="1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3">
      <c r="A833" s="1"/>
      <c r="B833" s="14"/>
      <c r="C833" s="1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3">
      <c r="A834" s="1"/>
      <c r="B834" s="14"/>
      <c r="C834" s="1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3">
      <c r="A835" s="1"/>
      <c r="B835" s="14"/>
      <c r="C835" s="1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3">
      <c r="A836" s="1"/>
      <c r="B836" s="14"/>
      <c r="C836" s="1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3">
      <c r="A837" s="1"/>
      <c r="B837" s="14"/>
      <c r="C837" s="1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3">
      <c r="A838" s="1"/>
      <c r="B838" s="14"/>
      <c r="C838" s="1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3">
      <c r="A839" s="1"/>
      <c r="B839" s="14"/>
      <c r="C839" s="1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3">
      <c r="A840" s="1"/>
      <c r="B840" s="14"/>
      <c r="C840" s="1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3">
      <c r="A841" s="1"/>
      <c r="B841" s="14"/>
      <c r="C841" s="1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3">
      <c r="A842" s="1"/>
      <c r="B842" s="14"/>
      <c r="C842" s="1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3">
      <c r="A843" s="1"/>
      <c r="B843" s="14"/>
      <c r="C843" s="1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3">
      <c r="A844" s="1"/>
      <c r="B844" s="14"/>
      <c r="C844" s="1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3">
      <c r="A845" s="1"/>
      <c r="B845" s="14"/>
      <c r="C845" s="1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3">
      <c r="A846" s="1"/>
      <c r="B846" s="14"/>
      <c r="C846" s="1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3">
      <c r="A847" s="1"/>
      <c r="B847" s="14"/>
      <c r="C847" s="1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3">
      <c r="A848" s="1"/>
      <c r="B848" s="14"/>
      <c r="C848" s="1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3">
      <c r="A849" s="1"/>
      <c r="B849" s="14"/>
      <c r="C849" s="1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3">
      <c r="A850" s="1"/>
      <c r="B850" s="14"/>
      <c r="C850" s="1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3">
      <c r="A851" s="1"/>
      <c r="B851" s="14"/>
      <c r="C851" s="1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3">
      <c r="A852" s="1"/>
      <c r="B852" s="14"/>
      <c r="C852" s="1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3">
      <c r="A853" s="1"/>
      <c r="B853" s="14"/>
      <c r="C853" s="1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3">
      <c r="A854" s="1"/>
      <c r="B854" s="14"/>
      <c r="C854" s="1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3">
      <c r="A855" s="1"/>
      <c r="B855" s="14"/>
      <c r="C855" s="1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3">
      <c r="A856" s="1"/>
      <c r="B856" s="14"/>
      <c r="C856" s="1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3">
      <c r="A857" s="1"/>
      <c r="B857" s="14"/>
      <c r="C857" s="1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3">
      <c r="A858" s="1"/>
      <c r="B858" s="14"/>
      <c r="C858" s="1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3">
      <c r="A859" s="1"/>
      <c r="B859" s="14"/>
      <c r="C859" s="1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3">
      <c r="A860" s="1"/>
      <c r="B860" s="14"/>
      <c r="C860" s="1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3">
      <c r="A861" s="1"/>
      <c r="B861" s="14"/>
      <c r="C861" s="1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3">
      <c r="A862" s="1"/>
      <c r="B862" s="14"/>
      <c r="C862" s="1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3">
      <c r="A863" s="1"/>
      <c r="B863" s="14"/>
      <c r="C863" s="1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3">
      <c r="A864" s="1"/>
      <c r="B864" s="14"/>
      <c r="C864" s="1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3">
      <c r="A865" s="1"/>
      <c r="B865" s="14"/>
      <c r="C865" s="1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3">
      <c r="A866" s="1"/>
      <c r="B866" s="14"/>
      <c r="C866" s="1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3">
      <c r="A867" s="1"/>
      <c r="B867" s="14"/>
      <c r="C867" s="1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3">
      <c r="A868" s="1"/>
      <c r="B868" s="14"/>
      <c r="C868" s="1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3">
      <c r="A869" s="1"/>
      <c r="B869" s="14"/>
      <c r="C869" s="1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3">
      <c r="A870" s="1"/>
      <c r="B870" s="14"/>
      <c r="C870" s="1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3">
      <c r="A871" s="1"/>
      <c r="B871" s="14"/>
      <c r="C871" s="1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3">
      <c r="A872" s="1"/>
      <c r="B872" s="14"/>
      <c r="C872" s="1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3">
      <c r="A873" s="1"/>
      <c r="B873" s="14"/>
      <c r="C873" s="1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3">
      <c r="A874" s="1"/>
      <c r="B874" s="14"/>
      <c r="C874" s="1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3">
      <c r="A875" s="1"/>
      <c r="B875" s="14"/>
      <c r="C875" s="1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3">
      <c r="A876" s="1"/>
      <c r="B876" s="14"/>
      <c r="C876" s="1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3">
      <c r="A877" s="1"/>
      <c r="B877" s="14"/>
      <c r="C877" s="1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3">
      <c r="A878" s="1"/>
      <c r="B878" s="14"/>
      <c r="C878" s="1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3">
      <c r="A879" s="1"/>
      <c r="B879" s="14"/>
      <c r="C879" s="1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3">
      <c r="A880" s="1"/>
      <c r="B880" s="14"/>
      <c r="C880" s="1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3">
      <c r="A881" s="1"/>
      <c r="B881" s="14"/>
      <c r="C881" s="1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3">
      <c r="A882" s="1"/>
      <c r="B882" s="14"/>
      <c r="C882" s="1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3">
      <c r="A883" s="1"/>
      <c r="B883" s="14"/>
      <c r="C883" s="1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3">
      <c r="A884" s="1"/>
      <c r="B884" s="14"/>
      <c r="C884" s="1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3">
      <c r="A885" s="1"/>
      <c r="B885" s="14"/>
      <c r="C885" s="1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3">
      <c r="A886" s="1"/>
      <c r="B886" s="14"/>
      <c r="C886" s="1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3">
      <c r="A887" s="1"/>
      <c r="B887" s="14"/>
      <c r="C887" s="1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3">
      <c r="A888" s="1"/>
      <c r="B888" s="14"/>
      <c r="C888" s="1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3">
      <c r="A889" s="1"/>
      <c r="B889" s="14"/>
      <c r="C889" s="1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3">
      <c r="A890" s="1"/>
      <c r="B890" s="14"/>
      <c r="C890" s="1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3">
      <c r="A891" s="1"/>
      <c r="B891" s="14"/>
      <c r="C891" s="1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3">
      <c r="A892" s="1"/>
      <c r="B892" s="14"/>
      <c r="C892" s="1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3">
      <c r="A893" s="1"/>
      <c r="B893" s="14"/>
      <c r="C893" s="1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3">
      <c r="A894" s="1"/>
      <c r="B894" s="14"/>
      <c r="C894" s="1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3">
      <c r="A895" s="1"/>
      <c r="B895" s="14"/>
      <c r="C895" s="1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3">
      <c r="A896" s="1"/>
      <c r="B896" s="14"/>
      <c r="C896" s="1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3">
      <c r="A897" s="1"/>
      <c r="B897" s="14"/>
      <c r="C897" s="1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3">
      <c r="A898" s="1"/>
      <c r="B898" s="14"/>
      <c r="C898" s="1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3">
      <c r="A899" s="1"/>
      <c r="B899" s="14"/>
      <c r="C899" s="1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3">
      <c r="A900" s="1"/>
      <c r="B900" s="14"/>
      <c r="C900" s="1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3">
      <c r="A901" s="1"/>
      <c r="B901" s="14"/>
      <c r="C901" s="1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3">
      <c r="A902" s="1"/>
      <c r="B902" s="14"/>
      <c r="C902" s="1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3">
      <c r="A903" s="1"/>
      <c r="B903" s="14"/>
      <c r="C903" s="1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3">
      <c r="A904" s="1"/>
      <c r="B904" s="14"/>
      <c r="C904" s="1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3">
      <c r="A905" s="1"/>
      <c r="B905" s="14"/>
      <c r="C905" s="1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3">
      <c r="A906" s="1"/>
      <c r="B906" s="14"/>
      <c r="C906" s="1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3">
      <c r="A907" s="1"/>
      <c r="B907" s="14"/>
      <c r="C907" s="1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3">
      <c r="A908" s="1"/>
      <c r="B908" s="14"/>
      <c r="C908" s="1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3">
      <c r="A909" s="1"/>
      <c r="B909" s="14"/>
      <c r="C909" s="1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3">
      <c r="A910" s="1"/>
      <c r="B910" s="14"/>
      <c r="C910" s="1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3">
      <c r="A911" s="1"/>
      <c r="B911" s="14"/>
      <c r="C911" s="1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3">
      <c r="A912" s="1"/>
      <c r="B912" s="14"/>
      <c r="C912" s="1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3">
      <c r="A913" s="1"/>
      <c r="B913" s="14"/>
      <c r="C913" s="1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3">
      <c r="A914" s="1"/>
      <c r="B914" s="14"/>
      <c r="C914" s="1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3">
      <c r="A915" s="1"/>
      <c r="B915" s="14"/>
      <c r="C915" s="1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3">
      <c r="A916" s="1"/>
      <c r="B916" s="14"/>
      <c r="C916" s="1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3">
      <c r="A917" s="1"/>
      <c r="B917" s="14"/>
      <c r="C917" s="1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3">
      <c r="A918" s="1"/>
      <c r="B918" s="14"/>
      <c r="C918" s="1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3">
      <c r="A919" s="1"/>
      <c r="B919" s="14"/>
      <c r="C919" s="1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3">
      <c r="A920" s="1"/>
      <c r="B920" s="14"/>
      <c r="C920" s="1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3">
      <c r="A921" s="1"/>
      <c r="B921" s="14"/>
      <c r="C921" s="1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3">
      <c r="A922" s="1"/>
      <c r="B922" s="14"/>
      <c r="C922" s="1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3">
      <c r="A923" s="1"/>
      <c r="B923" s="14"/>
      <c r="C923" s="1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3">
      <c r="A924" s="1"/>
      <c r="B924" s="14"/>
      <c r="C924" s="1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3">
      <c r="A925" s="1"/>
      <c r="B925" s="14"/>
      <c r="C925" s="1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3">
      <c r="A926" s="1"/>
      <c r="B926" s="14"/>
      <c r="C926" s="1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3">
      <c r="A927" s="1"/>
      <c r="B927" s="14"/>
      <c r="C927" s="1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3">
      <c r="A928" s="1"/>
      <c r="B928" s="14"/>
      <c r="C928" s="1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3">
      <c r="A929" s="1"/>
      <c r="B929" s="14"/>
      <c r="C929" s="1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3">
      <c r="A930" s="1"/>
      <c r="B930" s="14"/>
      <c r="C930" s="1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3">
      <c r="A931" s="1"/>
      <c r="B931" s="14"/>
      <c r="C931" s="1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3">
      <c r="A932" s="1"/>
      <c r="B932" s="14"/>
      <c r="C932" s="1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3">
      <c r="A933" s="1"/>
      <c r="B933" s="14"/>
      <c r="C933" s="1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3">
      <c r="A934" s="1"/>
      <c r="B934" s="14"/>
      <c r="C934" s="1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3">
      <c r="A935" s="1"/>
      <c r="B935" s="14"/>
      <c r="C935" s="1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3">
      <c r="A936" s="1"/>
      <c r="B936" s="14"/>
      <c r="C936" s="1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3">
      <c r="A937" s="1"/>
      <c r="B937" s="14"/>
      <c r="C937" s="1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3">
      <c r="A938" s="1"/>
      <c r="B938" s="14"/>
      <c r="C938" s="1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3">
      <c r="A939" s="1"/>
      <c r="B939" s="14"/>
      <c r="C939" s="1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3">
      <c r="A940" s="1"/>
      <c r="B940" s="14"/>
      <c r="C940" s="1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3">
      <c r="A941" s="1"/>
      <c r="B941" s="14"/>
      <c r="C941" s="1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3">
      <c r="A942" s="1"/>
      <c r="B942" s="14"/>
      <c r="C942" s="1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3">
      <c r="A943" s="1"/>
      <c r="B943" s="14"/>
      <c r="C943" s="1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3">
      <c r="A944" s="1"/>
      <c r="B944" s="14"/>
      <c r="C944" s="1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3">
      <c r="A945" s="1"/>
      <c r="B945" s="14"/>
      <c r="C945" s="1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3">
      <c r="A946" s="1"/>
      <c r="B946" s="14"/>
      <c r="C946" s="1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3">
      <c r="A947" s="1"/>
      <c r="B947" s="14"/>
      <c r="C947" s="1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3">
      <c r="A948" s="1"/>
      <c r="B948" s="14"/>
      <c r="C948" s="1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3">
      <c r="A949" s="1"/>
      <c r="B949" s="14"/>
      <c r="C949" s="1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3">
      <c r="A950" s="1"/>
      <c r="B950" s="14"/>
      <c r="C950" s="1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3">
      <c r="A951" s="1"/>
      <c r="B951" s="14"/>
      <c r="C951" s="1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3">
      <c r="A952" s="1"/>
      <c r="B952" s="14"/>
      <c r="C952" s="1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3">
      <c r="A953" s="1"/>
      <c r="B953" s="14"/>
      <c r="C953" s="1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3">
      <c r="A954" s="1"/>
      <c r="B954" s="14"/>
      <c r="C954" s="1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3">
      <c r="A955" s="1"/>
      <c r="B955" s="14"/>
      <c r="C955" s="1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3">
      <c r="A956" s="1"/>
      <c r="B956" s="14"/>
      <c r="C956" s="1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3">
      <c r="A957" s="1"/>
      <c r="B957" s="14"/>
      <c r="C957" s="1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3">
      <c r="A958" s="1"/>
      <c r="B958" s="14"/>
      <c r="C958" s="1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3">
      <c r="A959" s="1"/>
      <c r="B959" s="14"/>
      <c r="C959" s="1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3">
      <c r="A960" s="1"/>
      <c r="B960" s="14"/>
      <c r="C960" s="1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3">
      <c r="A961" s="1"/>
      <c r="B961" s="14"/>
      <c r="C961" s="1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3">
      <c r="A962" s="1"/>
      <c r="B962" s="14"/>
      <c r="C962" s="1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3">
      <c r="A963" s="1"/>
      <c r="B963" s="14"/>
      <c r="C963" s="1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3">
      <c r="A964" s="1"/>
      <c r="B964" s="14"/>
      <c r="C964" s="1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3">
      <c r="A965" s="1"/>
      <c r="B965" s="14"/>
      <c r="C965" s="1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3">
      <c r="A966" s="1"/>
      <c r="B966" s="14"/>
      <c r="C966" s="1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3">
      <c r="A967" s="1"/>
      <c r="B967" s="14"/>
      <c r="C967" s="1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3">
      <c r="A968" s="1"/>
      <c r="B968" s="14"/>
      <c r="C968" s="1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3">
      <c r="A969" s="1"/>
      <c r="B969" s="14"/>
      <c r="C969" s="1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3">
      <c r="A970" s="1"/>
      <c r="B970" s="14"/>
      <c r="C970" s="1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3">
      <c r="A971" s="1"/>
      <c r="B971" s="14"/>
      <c r="C971" s="1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3">
      <c r="A972" s="1"/>
      <c r="B972" s="14"/>
      <c r="C972" s="1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3">
      <c r="A973" s="1"/>
      <c r="B973" s="14"/>
      <c r="C973" s="1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3">
      <c r="A974" s="1"/>
      <c r="B974" s="14"/>
      <c r="C974" s="1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3">
      <c r="A975" s="1"/>
      <c r="B975" s="14"/>
      <c r="C975" s="1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3">
      <c r="A976" s="1"/>
      <c r="B976" s="14"/>
      <c r="C976" s="1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3">
      <c r="A977" s="1"/>
      <c r="B977" s="14"/>
      <c r="C977" s="1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3">
      <c r="A978" s="1"/>
      <c r="B978" s="14"/>
      <c r="C978" s="1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3">
      <c r="A979" s="1"/>
      <c r="B979" s="14"/>
      <c r="C979" s="1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3">
      <c r="A980" s="1"/>
      <c r="B980" s="14"/>
      <c r="C980" s="1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3">
      <c r="A981" s="1"/>
      <c r="B981" s="14"/>
      <c r="C981" s="1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3">
      <c r="A982" s="1"/>
      <c r="B982" s="14"/>
      <c r="C982" s="1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3">
      <c r="A983" s="1"/>
      <c r="B983" s="14"/>
      <c r="C983" s="1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3">
      <c r="A984" s="1"/>
      <c r="B984" s="14"/>
      <c r="C984" s="1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3">
      <c r="A985" s="1"/>
      <c r="B985" s="14"/>
      <c r="C985" s="1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3">
      <c r="A986" s="1"/>
      <c r="B986" s="14"/>
      <c r="C986" s="1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3">
      <c r="A987" s="1"/>
      <c r="B987" s="14"/>
      <c r="C987" s="1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3">
      <c r="A988" s="1"/>
      <c r="B988" s="14"/>
      <c r="C988" s="1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3">
      <c r="A989" s="1"/>
      <c r="B989" s="14"/>
      <c r="C989" s="1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3">
      <c r="A990" s="1"/>
      <c r="B990" s="14"/>
      <c r="C990" s="1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3">
      <c r="A991" s="1"/>
      <c r="B991" s="14"/>
      <c r="C991" s="1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3">
      <c r="A992" s="1"/>
      <c r="B992" s="14"/>
      <c r="C992" s="1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3">
      <c r="A993" s="1"/>
      <c r="B993" s="14"/>
      <c r="C993" s="1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3">
      <c r="A994" s="1"/>
      <c r="B994" s="14"/>
      <c r="C994" s="1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3">
      <c r="A995" s="1"/>
      <c r="B995" s="14"/>
      <c r="C995" s="1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3">
      <c r="A996" s="1"/>
      <c r="B996" s="14"/>
      <c r="C996" s="1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3">
      <c r="A997" s="1"/>
      <c r="B997" s="14"/>
      <c r="C997" s="1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3">
      <c r="A998" s="1"/>
      <c r="B998" s="14"/>
      <c r="C998" s="1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3">
      <c r="A999" s="1"/>
      <c r="B999" s="14"/>
      <c r="C999" s="1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3">
      <c r="A1000" s="1"/>
      <c r="B1000" s="14"/>
      <c r="C1000" s="1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scale="4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T100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4" sqref="A4"/>
    </sheetView>
  </sheetViews>
  <sheetFormatPr defaultColWidth="14.44140625" defaultRowHeight="15" customHeight="1" x14ac:dyDescent="0.3"/>
  <cols>
    <col min="1" max="1" width="61.6640625" customWidth="1"/>
    <col min="2" max="3" width="8.33203125" customWidth="1"/>
    <col min="4" max="20" width="8.6640625" customWidth="1"/>
  </cols>
  <sheetData>
    <row r="1" spans="1:20" ht="12" customHeight="1" x14ac:dyDescent="0.3">
      <c r="A1" s="13" t="str">
        <f>CompanyName</f>
        <v>Green Solutions Manufacturing Ltd.</v>
      </c>
      <c r="B1" s="14"/>
      <c r="C1" s="1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2" customHeight="1" x14ac:dyDescent="0.3">
      <c r="A2" s="15" t="s">
        <v>91</v>
      </c>
      <c r="B2" s="14"/>
      <c r="C2" s="1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2" customHeight="1" x14ac:dyDescent="0.3">
      <c r="A3" s="1"/>
      <c r="B3" s="17" t="str">
        <f>IF(B$4&lt;=FinancialYearEnd,"Actual","Forecast")</f>
        <v>Actual</v>
      </c>
      <c r="C3" s="17" t="str">
        <f>IF(C$4&lt;=FinancialYearEnd,"Actual","Forecast")</f>
        <v>Actual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" customHeight="1" thickBot="1" x14ac:dyDescent="0.35">
      <c r="A4" s="18" t="str">
        <f>'P. Input'!$D$7</f>
        <v>£'K</v>
      </c>
      <c r="B4" s="19">
        <f>EDATE(FinancialYearEnd,-12*NumPriorAnnualReportsRecorded)</f>
        <v>44926</v>
      </c>
      <c r="C4" s="19">
        <f>EDATE(B4,12)</f>
        <v>45291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2" customHeight="1" x14ac:dyDescent="0.3">
      <c r="A5" s="44" t="s">
        <v>92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12" customHeight="1" x14ac:dyDescent="0.3">
      <c r="A6" s="1" t="s">
        <v>93</v>
      </c>
      <c r="B6" s="53">
        <f>'I. Profit_Loss'!B18</f>
        <v>862</v>
      </c>
      <c r="C6" s="53">
        <f>'I. Profit_Loss'!C18</f>
        <v>5644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2" customHeight="1" x14ac:dyDescent="0.3">
      <c r="A7" s="1" t="s">
        <v>94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2" customHeight="1" x14ac:dyDescent="0.3">
      <c r="A8" s="72" t="s">
        <v>95</v>
      </c>
      <c r="B8" s="54">
        <v>2322</v>
      </c>
      <c r="C8" s="54">
        <v>2911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2" customHeight="1" x14ac:dyDescent="0.3">
      <c r="A9" s="72" t="s">
        <v>96</v>
      </c>
      <c r="B9" s="54">
        <v>1734</v>
      </c>
      <c r="C9" s="54">
        <v>2121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2" customHeight="1" x14ac:dyDescent="0.3">
      <c r="A10" s="72" t="s">
        <v>97</v>
      </c>
      <c r="B10" s="54">
        <v>202</v>
      </c>
      <c r="C10" s="54">
        <v>140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12" customHeight="1" x14ac:dyDescent="0.3">
      <c r="A11" s="72" t="s">
        <v>98</v>
      </c>
      <c r="B11" s="54">
        <v>114</v>
      </c>
      <c r="C11" s="54">
        <v>-55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12" customHeight="1" x14ac:dyDescent="0.3">
      <c r="A12" s="72" t="s">
        <v>99</v>
      </c>
      <c r="B12" s="54">
        <v>525</v>
      </c>
      <c r="C12" s="54">
        <v>245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2" customHeight="1" x14ac:dyDescent="0.3">
      <c r="A13" s="72" t="s">
        <v>100</v>
      </c>
      <c r="B13" s="54">
        <v>0</v>
      </c>
      <c r="C13" s="54">
        <f>-27-51</f>
        <v>-78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12" customHeight="1" x14ac:dyDescent="0.3">
      <c r="A14" s="72" t="s">
        <v>101</v>
      </c>
      <c r="B14" s="54">
        <v>0</v>
      </c>
      <c r="C14" s="54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12" customHeight="1" x14ac:dyDescent="0.3">
      <c r="A15" s="1" t="s">
        <v>102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2" customHeight="1" x14ac:dyDescent="0.3">
      <c r="A16" s="72" t="s">
        <v>103</v>
      </c>
      <c r="B16" s="54">
        <v>-652</v>
      </c>
      <c r="C16" s="54">
        <v>-130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ht="12" customHeight="1" x14ac:dyDescent="0.3">
      <c r="A17" s="72" t="s">
        <v>104</v>
      </c>
      <c r="B17" s="54">
        <v>-422</v>
      </c>
      <c r="C17" s="54">
        <v>-1709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12" customHeight="1" x14ac:dyDescent="0.3">
      <c r="A18" s="72" t="s">
        <v>105</v>
      </c>
      <c r="B18" s="54">
        <v>-1072</v>
      </c>
      <c r="C18" s="54">
        <v>-2114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t="12" customHeight="1" x14ac:dyDescent="0.3">
      <c r="A19" s="72" t="s">
        <v>57</v>
      </c>
      <c r="B19" s="54">
        <v>-251</v>
      </c>
      <c r="C19" s="54">
        <v>-271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ht="12" customHeight="1" x14ac:dyDescent="0.3">
      <c r="A20" s="72" t="s">
        <v>50</v>
      </c>
      <c r="B20" s="54">
        <v>-344</v>
      </c>
      <c r="C20" s="54">
        <v>-1291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ht="12" customHeight="1" x14ac:dyDescent="0.3">
      <c r="A21" s="72" t="s">
        <v>106</v>
      </c>
      <c r="B21" s="54">
        <v>2102</v>
      </c>
      <c r="C21" s="54">
        <v>4578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ht="12" customHeight="1" x14ac:dyDescent="0.3">
      <c r="A22" s="72" t="s">
        <v>65</v>
      </c>
      <c r="B22" s="54">
        <v>321</v>
      </c>
      <c r="C22" s="54">
        <v>793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ht="12" customHeight="1" x14ac:dyDescent="0.3">
      <c r="A23" s="72" t="s">
        <v>66</v>
      </c>
      <c r="B23" s="54">
        <v>7</v>
      </c>
      <c r="C23" s="54">
        <v>186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ht="12" customHeight="1" x14ac:dyDescent="0.3">
      <c r="A24" s="72" t="s">
        <v>72</v>
      </c>
      <c r="B24" s="54">
        <v>495</v>
      </c>
      <c r="C24" s="54">
        <v>476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12" customHeight="1" thickBot="1" x14ac:dyDescent="0.35">
      <c r="A25" s="55" t="s">
        <v>107</v>
      </c>
      <c r="B25" s="56">
        <f t="shared" ref="B25:C25" si="0">SUM(B6:B24)</f>
        <v>5943</v>
      </c>
      <c r="C25" s="56">
        <f t="shared" si="0"/>
        <v>11446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ht="12" customHeight="1" x14ac:dyDescent="0.3">
      <c r="A26" s="3"/>
      <c r="B26" s="53"/>
      <c r="C26" s="5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ht="12" customHeight="1" thickBot="1" x14ac:dyDescent="0.35">
      <c r="A27" s="57" t="s">
        <v>108</v>
      </c>
      <c r="B27" s="58"/>
      <c r="C27" s="58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ht="12" customHeight="1" x14ac:dyDescent="0.3">
      <c r="A28" s="1" t="s">
        <v>109</v>
      </c>
      <c r="B28" s="54">
        <v>-3157</v>
      </c>
      <c r="C28" s="54">
        <v>-6482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ht="12" customHeight="1" x14ac:dyDescent="0.3">
      <c r="A29" s="1" t="s">
        <v>110</v>
      </c>
      <c r="B29" s="54">
        <v>-75</v>
      </c>
      <c r="C29" s="54">
        <v>-32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ht="12" customHeight="1" x14ac:dyDescent="0.3">
      <c r="A30" s="1" t="s">
        <v>111</v>
      </c>
      <c r="B30" s="54">
        <v>0</v>
      </c>
      <c r="C30" s="54">
        <v>-1500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ht="12" customHeight="1" x14ac:dyDescent="0.3">
      <c r="A31" s="1" t="s">
        <v>112</v>
      </c>
      <c r="B31" s="54">
        <v>0</v>
      </c>
      <c r="C31" s="54">
        <v>272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ht="12" customHeight="1" x14ac:dyDescent="0.3">
      <c r="A32" s="1" t="s">
        <v>113</v>
      </c>
      <c r="B32" s="54">
        <v>0</v>
      </c>
      <c r="C32" s="54">
        <v>-132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ht="12" customHeight="1" x14ac:dyDescent="0.3">
      <c r="A33" s="1" t="s">
        <v>114</v>
      </c>
      <c r="B33" s="54">
        <v>123</v>
      </c>
      <c r="C33" s="54">
        <v>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ht="12" customHeight="1" x14ac:dyDescent="0.3">
      <c r="A34" s="1" t="s">
        <v>115</v>
      </c>
      <c r="B34" s="54">
        <v>-10</v>
      </c>
      <c r="C34" s="54">
        <v>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ht="12" customHeight="1" x14ac:dyDescent="0.3">
      <c r="A35" s="1" t="s">
        <v>116</v>
      </c>
      <c r="B35" s="54">
        <v>-13</v>
      </c>
      <c r="C35" s="54">
        <v>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ht="12" customHeight="1" thickBot="1" x14ac:dyDescent="0.35">
      <c r="A36" s="55" t="s">
        <v>117</v>
      </c>
      <c r="B36" s="56">
        <f t="shared" ref="B36:C36" si="1">SUM(B28:B35)</f>
        <v>-3132</v>
      </c>
      <c r="C36" s="56">
        <f t="shared" si="1"/>
        <v>-7868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ht="12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ht="12" customHeight="1" thickBot="1" x14ac:dyDescent="0.35">
      <c r="A38" s="57" t="s">
        <v>118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ht="12" customHeight="1" x14ac:dyDescent="0.3">
      <c r="A39" s="1" t="s">
        <v>119</v>
      </c>
      <c r="B39" s="54">
        <v>12269</v>
      </c>
      <c r="C39" s="54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ht="12" customHeight="1" x14ac:dyDescent="0.3">
      <c r="A40" s="1" t="s">
        <v>120</v>
      </c>
      <c r="B40" s="54">
        <v>9713</v>
      </c>
      <c r="C40" s="54">
        <v>8883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ht="12" customHeight="1" x14ac:dyDescent="0.3">
      <c r="A41" s="1" t="s">
        <v>121</v>
      </c>
      <c r="B41" s="54">
        <v>-11623</v>
      </c>
      <c r="C41" s="54">
        <v>-14167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ht="12" customHeight="1" x14ac:dyDescent="0.3">
      <c r="A42" s="1" t="s">
        <v>122</v>
      </c>
      <c r="B42" s="54">
        <v>-240</v>
      </c>
      <c r="C42" s="54">
        <v>-9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ht="12" customHeight="1" x14ac:dyDescent="0.3">
      <c r="A43" s="1" t="s">
        <v>123</v>
      </c>
      <c r="B43" s="54">
        <v>417</v>
      </c>
      <c r="C43" s="54">
        <v>707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ht="12" customHeight="1" x14ac:dyDescent="0.3">
      <c r="A44" s="1" t="s">
        <v>124</v>
      </c>
      <c r="B44" s="54">
        <v>-338</v>
      </c>
      <c r="C44" s="54">
        <v>-439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ht="12" customHeight="1" x14ac:dyDescent="0.3">
      <c r="A45" s="1" t="s">
        <v>125</v>
      </c>
      <c r="B45" s="54">
        <v>-6</v>
      </c>
      <c r="C45" s="54">
        <v>-9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ht="12" customHeight="1" x14ac:dyDescent="0.3">
      <c r="A46" s="1" t="s">
        <v>126</v>
      </c>
      <c r="B46" s="54">
        <v>0</v>
      </c>
      <c r="C46" s="54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ht="12" customHeight="1" x14ac:dyDescent="0.3">
      <c r="A47" s="1" t="s">
        <v>127</v>
      </c>
      <c r="B47" s="54">
        <v>0</v>
      </c>
      <c r="C47" s="54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ht="12" customHeight="1" x14ac:dyDescent="0.3">
      <c r="A48" s="1" t="s">
        <v>128</v>
      </c>
      <c r="B48" s="54">
        <v>24</v>
      </c>
      <c r="C48" s="54">
        <v>2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ht="12" customHeight="1" x14ac:dyDescent="0.3">
      <c r="A49" s="1" t="s">
        <v>129</v>
      </c>
      <c r="B49" s="54">
        <v>-208</v>
      </c>
      <c r="C49" s="54">
        <v>-161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ht="12" customHeight="1" x14ac:dyDescent="0.3">
      <c r="A50" s="1" t="s">
        <v>130</v>
      </c>
      <c r="B50" s="54">
        <v>-35</v>
      </c>
      <c r="C50" s="54">
        <v>-10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ht="12" customHeight="1" x14ac:dyDescent="0.3">
      <c r="A51" s="3" t="s">
        <v>131</v>
      </c>
      <c r="B51" s="59">
        <f t="shared" ref="B51:C51" si="2">SUM(B39:B50)</f>
        <v>9973</v>
      </c>
      <c r="C51" s="59">
        <f t="shared" si="2"/>
        <v>-5203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 ht="12" customHeight="1" x14ac:dyDescent="0.3">
      <c r="A52" s="3"/>
      <c r="B52" s="60"/>
      <c r="C52" s="60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 ht="12" customHeight="1" thickBot="1" x14ac:dyDescent="0.35">
      <c r="A53" s="1" t="s">
        <v>132</v>
      </c>
      <c r="B53" s="61">
        <v>334</v>
      </c>
      <c r="C53" s="61">
        <v>-183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 ht="12" customHeight="1" x14ac:dyDescent="0.3">
      <c r="A54" s="3" t="s">
        <v>133</v>
      </c>
      <c r="B54" s="53">
        <f t="shared" ref="B54:C54" si="3">SUM(B25,B36,B51,B53)</f>
        <v>13118</v>
      </c>
      <c r="C54" s="53">
        <f t="shared" si="3"/>
        <v>-1808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ht="12" customHeight="1" x14ac:dyDescent="0.3">
      <c r="A55" s="3" t="s">
        <v>134</v>
      </c>
      <c r="B55" s="54">
        <v>6266</v>
      </c>
      <c r="C55" s="53">
        <f>B56</f>
        <v>19384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ht="12" customHeight="1" thickBot="1" x14ac:dyDescent="0.35">
      <c r="A56" s="3" t="s">
        <v>135</v>
      </c>
      <c r="B56" s="62">
        <f t="shared" ref="B56:C56" si="4">SUM(B54:B55)</f>
        <v>19384</v>
      </c>
      <c r="C56" s="62">
        <f t="shared" si="4"/>
        <v>17576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ht="12" customHeight="1" x14ac:dyDescent="0.3">
      <c r="A57" s="3"/>
      <c r="B57" s="53"/>
      <c r="C57" s="5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ht="12" customHeight="1" x14ac:dyDescent="0.3">
      <c r="A58" s="3" t="s">
        <v>136</v>
      </c>
      <c r="B58" s="53"/>
      <c r="C58" s="5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ht="12" customHeight="1" x14ac:dyDescent="0.3">
      <c r="A59" s="1" t="s">
        <v>137</v>
      </c>
      <c r="B59" s="54">
        <v>0</v>
      </c>
      <c r="C59" s="54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ht="12" customHeight="1" x14ac:dyDescent="0.3">
      <c r="A60" s="1" t="s">
        <v>138</v>
      </c>
      <c r="B60" s="54">
        <v>1088</v>
      </c>
      <c r="C60" s="54">
        <v>2251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ht="12" customHeight="1" x14ac:dyDescent="0.3">
      <c r="A61" s="3" t="s">
        <v>139</v>
      </c>
      <c r="B61" s="53"/>
      <c r="C61" s="5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ht="12" customHeight="1" x14ac:dyDescent="0.3">
      <c r="A62" s="1" t="s">
        <v>140</v>
      </c>
      <c r="B62" s="54">
        <v>444</v>
      </c>
      <c r="C62" s="54">
        <v>266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ht="12" customHeight="1" x14ac:dyDescent="0.3">
      <c r="A63" s="1" t="s">
        <v>141</v>
      </c>
      <c r="B63" s="54">
        <v>115</v>
      </c>
      <c r="C63" s="54">
        <v>561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ht="12" customHeight="1" x14ac:dyDescent="0.3">
      <c r="A64" s="1"/>
      <c r="B64" s="33"/>
      <c r="C64" s="3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2" customHeight="1" thickBot="1" x14ac:dyDescent="0.35">
      <c r="A65" s="31" t="s">
        <v>142</v>
      </c>
      <c r="B65" s="32">
        <f t="shared" ref="B65:C65" si="5">SUM(B53,B51,B36,B25)</f>
        <v>13118</v>
      </c>
      <c r="C65" s="32">
        <f t="shared" si="5"/>
        <v>-1808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ht="12" customHeight="1" x14ac:dyDescent="0.3">
      <c r="A66" s="63" t="s">
        <v>143</v>
      </c>
      <c r="B66" s="52">
        <f>B55</f>
        <v>6266</v>
      </c>
      <c r="C66" s="52">
        <f>B67</f>
        <v>19384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ht="12" customHeight="1" thickBot="1" x14ac:dyDescent="0.35">
      <c r="A67" s="29" t="s">
        <v>144</v>
      </c>
      <c r="B67" s="40">
        <f t="shared" ref="B67:C67" si="6">SUM(B65:B66)</f>
        <v>19384</v>
      </c>
      <c r="C67" s="40">
        <f t="shared" si="6"/>
        <v>17576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ht="12" customHeight="1" x14ac:dyDescent="0.3">
      <c r="A68" s="1"/>
      <c r="B68" s="14"/>
      <c r="C68" s="1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2" customHeight="1" x14ac:dyDescent="0.3">
      <c r="A69" s="1"/>
      <c r="B69" s="14"/>
      <c r="C69" s="1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2" customHeight="1" x14ac:dyDescent="0.3">
      <c r="A70" s="1"/>
      <c r="B70" s="53"/>
      <c r="C70" s="5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2" customHeight="1" x14ac:dyDescent="0.3">
      <c r="A71" s="1"/>
      <c r="B71" s="14"/>
      <c r="C71" s="1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2" customHeight="1" x14ac:dyDescent="0.3">
      <c r="A72" s="1"/>
      <c r="B72" s="14"/>
      <c r="C72" s="1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2" customHeight="1" x14ac:dyDescent="0.3">
      <c r="A73" s="1"/>
      <c r="B73" s="14"/>
      <c r="C73" s="1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2" customHeight="1" x14ac:dyDescent="0.3">
      <c r="A74" s="1"/>
      <c r="B74" s="14"/>
      <c r="C74" s="1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2" customHeight="1" x14ac:dyDescent="0.3">
      <c r="A75" s="1"/>
      <c r="B75" s="14"/>
      <c r="C75" s="1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2" customHeight="1" x14ac:dyDescent="0.3">
      <c r="A76" s="1"/>
      <c r="B76" s="14"/>
      <c r="C76" s="1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2" customHeight="1" x14ac:dyDescent="0.3">
      <c r="A77" s="1"/>
      <c r="B77" s="14"/>
      <c r="C77" s="1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2" customHeight="1" x14ac:dyDescent="0.3">
      <c r="A78" s="1"/>
      <c r="B78" s="14"/>
      <c r="C78" s="1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2" customHeight="1" x14ac:dyDescent="0.3">
      <c r="A79" s="1"/>
      <c r="B79" s="14"/>
      <c r="C79" s="1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2" customHeight="1" x14ac:dyDescent="0.3">
      <c r="A80" s="1"/>
      <c r="B80" s="14"/>
      <c r="C80" s="1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2" customHeight="1" x14ac:dyDescent="0.3">
      <c r="A81" s="1"/>
      <c r="B81" s="14"/>
      <c r="C81" s="1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2" customHeight="1" x14ac:dyDescent="0.3">
      <c r="A82" s="1"/>
      <c r="B82" s="14"/>
      <c r="C82" s="1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2" customHeight="1" x14ac:dyDescent="0.3">
      <c r="A83" s="1"/>
      <c r="B83" s="14"/>
      <c r="C83" s="1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2" customHeight="1" x14ac:dyDescent="0.3">
      <c r="A84" s="1"/>
      <c r="B84" s="14"/>
      <c r="C84" s="1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2" customHeight="1" x14ac:dyDescent="0.3">
      <c r="A85" s="1"/>
      <c r="B85" s="14"/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2" customHeight="1" x14ac:dyDescent="0.3">
      <c r="A86" s="1"/>
      <c r="B86" s="14"/>
      <c r="C86" s="1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2" customHeight="1" x14ac:dyDescent="0.3">
      <c r="A87" s="1"/>
      <c r="B87" s="14"/>
      <c r="C87" s="1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2" customHeight="1" x14ac:dyDescent="0.3">
      <c r="A88" s="1"/>
      <c r="B88" s="14"/>
      <c r="C88" s="1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2" customHeight="1" x14ac:dyDescent="0.3">
      <c r="A89" s="1"/>
      <c r="B89" s="14"/>
      <c r="C89" s="1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2" customHeight="1" x14ac:dyDescent="0.3">
      <c r="A90" s="1"/>
      <c r="B90" s="14"/>
      <c r="C90" s="1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2" customHeight="1" x14ac:dyDescent="0.3">
      <c r="A91" s="1"/>
      <c r="B91" s="14"/>
      <c r="C91" s="1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2" customHeight="1" x14ac:dyDescent="0.3">
      <c r="A92" s="1"/>
      <c r="B92" s="14"/>
      <c r="C92" s="1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2" customHeight="1" x14ac:dyDescent="0.3">
      <c r="A93" s="1"/>
      <c r="B93" s="14"/>
      <c r="C93" s="1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2" customHeight="1" x14ac:dyDescent="0.3">
      <c r="A94" s="1"/>
      <c r="B94" s="14"/>
      <c r="C94" s="1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2" customHeight="1" x14ac:dyDescent="0.3">
      <c r="A95" s="1"/>
      <c r="B95" s="14"/>
      <c r="C95" s="1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2" customHeight="1" x14ac:dyDescent="0.3">
      <c r="A96" s="1"/>
      <c r="B96" s="14"/>
      <c r="C96" s="1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2" customHeight="1" x14ac:dyDescent="0.3">
      <c r="A97" s="1"/>
      <c r="B97" s="14"/>
      <c r="C97" s="1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2" customHeight="1" x14ac:dyDescent="0.3">
      <c r="A98" s="1"/>
      <c r="B98" s="14"/>
      <c r="C98" s="1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2" customHeight="1" x14ac:dyDescent="0.3">
      <c r="A99" s="1"/>
      <c r="B99" s="14"/>
      <c r="C99" s="1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2" customHeight="1" x14ac:dyDescent="0.3">
      <c r="A100" s="1"/>
      <c r="B100" s="14"/>
      <c r="C100" s="1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2" customHeight="1" x14ac:dyDescent="0.3">
      <c r="A101" s="1"/>
      <c r="B101" s="14"/>
      <c r="C101" s="1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2" customHeight="1" x14ac:dyDescent="0.3">
      <c r="A102" s="1"/>
      <c r="B102" s="14"/>
      <c r="C102" s="1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2" customHeight="1" x14ac:dyDescent="0.3">
      <c r="A103" s="1"/>
      <c r="B103" s="14"/>
      <c r="C103" s="1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2" customHeight="1" x14ac:dyDescent="0.3">
      <c r="A104" s="1"/>
      <c r="B104" s="14"/>
      <c r="C104" s="1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2" customHeight="1" x14ac:dyDescent="0.3">
      <c r="A105" s="1"/>
      <c r="B105" s="14"/>
      <c r="C105" s="1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2" customHeight="1" x14ac:dyDescent="0.3">
      <c r="A106" s="1"/>
      <c r="B106" s="14"/>
      <c r="C106" s="1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2" customHeight="1" x14ac:dyDescent="0.3">
      <c r="A107" s="1"/>
      <c r="B107" s="14"/>
      <c r="C107" s="1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2" customHeight="1" x14ac:dyDescent="0.3">
      <c r="A108" s="1"/>
      <c r="B108" s="14"/>
      <c r="C108" s="1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2" customHeight="1" x14ac:dyDescent="0.3">
      <c r="A109" s="1"/>
      <c r="B109" s="14"/>
      <c r="C109" s="1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2" customHeight="1" x14ac:dyDescent="0.3">
      <c r="A110" s="1"/>
      <c r="B110" s="14"/>
      <c r="C110" s="1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2" customHeight="1" x14ac:dyDescent="0.3">
      <c r="A111" s="1"/>
      <c r="B111" s="14"/>
      <c r="C111" s="1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2" customHeight="1" x14ac:dyDescent="0.3">
      <c r="A112" s="1"/>
      <c r="B112" s="14"/>
      <c r="C112" s="1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2" customHeight="1" x14ac:dyDescent="0.3">
      <c r="A113" s="1"/>
      <c r="B113" s="14"/>
      <c r="C113" s="1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2" customHeight="1" x14ac:dyDescent="0.3">
      <c r="A114" s="1"/>
      <c r="B114" s="14"/>
      <c r="C114" s="1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2" customHeight="1" x14ac:dyDescent="0.3">
      <c r="A115" s="1"/>
      <c r="B115" s="14"/>
      <c r="C115" s="1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2" customHeight="1" x14ac:dyDescent="0.3">
      <c r="A116" s="1"/>
      <c r="B116" s="14"/>
      <c r="C116" s="1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2" customHeight="1" x14ac:dyDescent="0.3">
      <c r="A117" s="1"/>
      <c r="B117" s="14"/>
      <c r="C117" s="1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2" customHeight="1" x14ac:dyDescent="0.3">
      <c r="A118" s="1"/>
      <c r="B118" s="14"/>
      <c r="C118" s="1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2" customHeight="1" x14ac:dyDescent="0.3">
      <c r="A119" s="1"/>
      <c r="B119" s="14"/>
      <c r="C119" s="1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2" customHeight="1" x14ac:dyDescent="0.3">
      <c r="A120" s="1"/>
      <c r="B120" s="14"/>
      <c r="C120" s="1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2" customHeight="1" x14ac:dyDescent="0.3">
      <c r="A121" s="1"/>
      <c r="B121" s="14"/>
      <c r="C121" s="1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2" customHeight="1" x14ac:dyDescent="0.3">
      <c r="A122" s="1"/>
      <c r="B122" s="14"/>
      <c r="C122" s="1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2" customHeight="1" x14ac:dyDescent="0.3">
      <c r="A123" s="1"/>
      <c r="B123" s="14"/>
      <c r="C123" s="1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2" customHeight="1" x14ac:dyDescent="0.3">
      <c r="A124" s="1"/>
      <c r="B124" s="14"/>
      <c r="C124" s="1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2" customHeight="1" x14ac:dyDescent="0.3">
      <c r="A125" s="1"/>
      <c r="B125" s="14"/>
      <c r="C125" s="1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2" customHeight="1" x14ac:dyDescent="0.3">
      <c r="A126" s="1"/>
      <c r="B126" s="14"/>
      <c r="C126" s="14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2" customHeight="1" x14ac:dyDescent="0.3">
      <c r="A127" s="1"/>
      <c r="B127" s="14"/>
      <c r="C127" s="1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2" customHeight="1" x14ac:dyDescent="0.3">
      <c r="A128" s="1"/>
      <c r="B128" s="14"/>
      <c r="C128" s="1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2" customHeight="1" x14ac:dyDescent="0.3">
      <c r="A129" s="1"/>
      <c r="B129" s="14"/>
      <c r="C129" s="1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2" customHeight="1" x14ac:dyDescent="0.3">
      <c r="A130" s="1"/>
      <c r="B130" s="14"/>
      <c r="C130" s="1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2" customHeight="1" x14ac:dyDescent="0.3">
      <c r="A131" s="1"/>
      <c r="B131" s="14"/>
      <c r="C131" s="1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2" customHeight="1" x14ac:dyDescent="0.3">
      <c r="A132" s="1"/>
      <c r="B132" s="14"/>
      <c r="C132" s="1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2" customHeight="1" x14ac:dyDescent="0.3">
      <c r="A133" s="1"/>
      <c r="B133" s="14"/>
      <c r="C133" s="1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2" customHeight="1" x14ac:dyDescent="0.3">
      <c r="A134" s="1"/>
      <c r="B134" s="14"/>
      <c r="C134" s="1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2" customHeight="1" x14ac:dyDescent="0.3">
      <c r="A135" s="1"/>
      <c r="B135" s="14"/>
      <c r="C135" s="1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2" customHeight="1" x14ac:dyDescent="0.3">
      <c r="A136" s="1"/>
      <c r="B136" s="14"/>
      <c r="C136" s="1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2" customHeight="1" x14ac:dyDescent="0.3">
      <c r="A137" s="1"/>
      <c r="B137" s="14"/>
      <c r="C137" s="1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2" customHeight="1" x14ac:dyDescent="0.3">
      <c r="A138" s="1"/>
      <c r="B138" s="14"/>
      <c r="C138" s="1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2" customHeight="1" x14ac:dyDescent="0.3">
      <c r="A139" s="1"/>
      <c r="B139" s="14"/>
      <c r="C139" s="1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2" customHeight="1" x14ac:dyDescent="0.3">
      <c r="A140" s="1"/>
      <c r="B140" s="14"/>
      <c r="C140" s="1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2" customHeight="1" x14ac:dyDescent="0.3">
      <c r="A141" s="1"/>
      <c r="B141" s="14"/>
      <c r="C141" s="1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2" customHeight="1" x14ac:dyDescent="0.3">
      <c r="A142" s="1"/>
      <c r="B142" s="14"/>
      <c r="C142" s="1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2" customHeight="1" x14ac:dyDescent="0.3">
      <c r="A143" s="1"/>
      <c r="B143" s="14"/>
      <c r="C143" s="1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2" customHeight="1" x14ac:dyDescent="0.3">
      <c r="A144" s="1"/>
      <c r="B144" s="14"/>
      <c r="C144" s="1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2" customHeight="1" x14ac:dyDescent="0.3">
      <c r="A145" s="1"/>
      <c r="B145" s="14"/>
      <c r="C145" s="1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2" customHeight="1" x14ac:dyDescent="0.3">
      <c r="A146" s="1"/>
      <c r="B146" s="14"/>
      <c r="C146" s="1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2" customHeight="1" x14ac:dyDescent="0.3">
      <c r="A147" s="1"/>
      <c r="B147" s="14"/>
      <c r="C147" s="1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2" customHeight="1" x14ac:dyDescent="0.3">
      <c r="A148" s="1"/>
      <c r="B148" s="14"/>
      <c r="C148" s="1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2" customHeight="1" x14ac:dyDescent="0.3">
      <c r="A149" s="1"/>
      <c r="B149" s="14"/>
      <c r="C149" s="1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2" customHeight="1" x14ac:dyDescent="0.3">
      <c r="A150" s="1"/>
      <c r="B150" s="14"/>
      <c r="C150" s="14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2" customHeight="1" x14ac:dyDescent="0.3">
      <c r="A151" s="1"/>
      <c r="B151" s="14"/>
      <c r="C151" s="14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2" customHeight="1" x14ac:dyDescent="0.3">
      <c r="A152" s="1"/>
      <c r="B152" s="14"/>
      <c r="C152" s="14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2" customHeight="1" x14ac:dyDescent="0.3">
      <c r="A153" s="1"/>
      <c r="B153" s="14"/>
      <c r="C153" s="14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2" customHeight="1" x14ac:dyDescent="0.3">
      <c r="A154" s="1"/>
      <c r="B154" s="14"/>
      <c r="C154" s="1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2" customHeight="1" x14ac:dyDescent="0.3">
      <c r="A155" s="1"/>
      <c r="B155" s="14"/>
      <c r="C155" s="14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2" customHeight="1" x14ac:dyDescent="0.3">
      <c r="A156" s="1"/>
      <c r="B156" s="14"/>
      <c r="C156" s="14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2" customHeight="1" x14ac:dyDescent="0.3">
      <c r="A157" s="1"/>
      <c r="B157" s="14"/>
      <c r="C157" s="14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2" customHeight="1" x14ac:dyDescent="0.3">
      <c r="A158" s="1"/>
      <c r="B158" s="14"/>
      <c r="C158" s="1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2" customHeight="1" x14ac:dyDescent="0.3">
      <c r="A159" s="1"/>
      <c r="B159" s="14"/>
      <c r="C159" s="14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2" customHeight="1" x14ac:dyDescent="0.3">
      <c r="A160" s="1"/>
      <c r="B160" s="14"/>
      <c r="C160" s="14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2" customHeight="1" x14ac:dyDescent="0.3">
      <c r="A161" s="1"/>
      <c r="B161" s="14"/>
      <c r="C161" s="14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2" customHeight="1" x14ac:dyDescent="0.3">
      <c r="A162" s="1"/>
      <c r="B162" s="14"/>
      <c r="C162" s="14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2" customHeight="1" x14ac:dyDescent="0.3">
      <c r="A163" s="1"/>
      <c r="B163" s="14"/>
      <c r="C163" s="14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2" customHeight="1" x14ac:dyDescent="0.3">
      <c r="A164" s="1"/>
      <c r="B164" s="14"/>
      <c r="C164" s="14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2" customHeight="1" x14ac:dyDescent="0.3">
      <c r="A165" s="1"/>
      <c r="B165" s="14"/>
      <c r="C165" s="1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2" customHeight="1" x14ac:dyDescent="0.3">
      <c r="A166" s="1"/>
      <c r="B166" s="14"/>
      <c r="C166" s="14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2" customHeight="1" x14ac:dyDescent="0.3">
      <c r="A167" s="1"/>
      <c r="B167" s="14"/>
      <c r="C167" s="14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2" customHeight="1" x14ac:dyDescent="0.3">
      <c r="A168" s="1"/>
      <c r="B168" s="14"/>
      <c r="C168" s="14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2" customHeight="1" x14ac:dyDescent="0.3">
      <c r="A169" s="1"/>
      <c r="B169" s="14"/>
      <c r="C169" s="1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2" customHeight="1" x14ac:dyDescent="0.3">
      <c r="A170" s="1"/>
      <c r="B170" s="14"/>
      <c r="C170" s="14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2" customHeight="1" x14ac:dyDescent="0.3">
      <c r="A171" s="1"/>
      <c r="B171" s="14"/>
      <c r="C171" s="14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2" customHeight="1" x14ac:dyDescent="0.3">
      <c r="A172" s="1"/>
      <c r="B172" s="14"/>
      <c r="C172" s="14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2" customHeight="1" x14ac:dyDescent="0.3">
      <c r="A173" s="1"/>
      <c r="B173" s="14"/>
      <c r="C173" s="14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2" customHeight="1" x14ac:dyDescent="0.3">
      <c r="A174" s="1"/>
      <c r="B174" s="14"/>
      <c r="C174" s="1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2" customHeight="1" x14ac:dyDescent="0.3">
      <c r="A175" s="1"/>
      <c r="B175" s="14"/>
      <c r="C175" s="1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2" customHeight="1" x14ac:dyDescent="0.3">
      <c r="A176" s="1"/>
      <c r="B176" s="14"/>
      <c r="C176" s="1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2" customHeight="1" x14ac:dyDescent="0.3">
      <c r="A177" s="1"/>
      <c r="B177" s="14"/>
      <c r="C177" s="1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2" customHeight="1" x14ac:dyDescent="0.3">
      <c r="A178" s="1"/>
      <c r="B178" s="14"/>
      <c r="C178" s="1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2" customHeight="1" x14ac:dyDescent="0.3">
      <c r="A179" s="1"/>
      <c r="B179" s="14"/>
      <c r="C179" s="1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2" customHeight="1" x14ac:dyDescent="0.3">
      <c r="A180" s="1"/>
      <c r="B180" s="14"/>
      <c r="C180" s="1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2" customHeight="1" x14ac:dyDescent="0.3">
      <c r="A181" s="1"/>
      <c r="B181" s="14"/>
      <c r="C181" s="14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2" customHeight="1" x14ac:dyDescent="0.3">
      <c r="A182" s="1"/>
      <c r="B182" s="14"/>
      <c r="C182" s="14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2" customHeight="1" x14ac:dyDescent="0.3">
      <c r="A183" s="1"/>
      <c r="B183" s="14"/>
      <c r="C183" s="14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2" customHeight="1" x14ac:dyDescent="0.3">
      <c r="A184" s="1"/>
      <c r="B184" s="14"/>
      <c r="C184" s="14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2" customHeight="1" x14ac:dyDescent="0.3">
      <c r="A185" s="1"/>
      <c r="B185" s="14"/>
      <c r="C185" s="14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2" customHeight="1" x14ac:dyDescent="0.3">
      <c r="A186" s="1"/>
      <c r="B186" s="14"/>
      <c r="C186" s="14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2" customHeight="1" x14ac:dyDescent="0.3">
      <c r="A187" s="1"/>
      <c r="B187" s="14"/>
      <c r="C187" s="14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2" customHeight="1" x14ac:dyDescent="0.3">
      <c r="A188" s="1"/>
      <c r="B188" s="14"/>
      <c r="C188" s="14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2" customHeight="1" x14ac:dyDescent="0.3">
      <c r="A189" s="1"/>
      <c r="B189" s="14"/>
      <c r="C189" s="1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2" customHeight="1" x14ac:dyDescent="0.3">
      <c r="A190" s="1"/>
      <c r="B190" s="14"/>
      <c r="C190" s="1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2" customHeight="1" x14ac:dyDescent="0.3">
      <c r="A191" s="1"/>
      <c r="B191" s="14"/>
      <c r="C191" s="1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2" customHeight="1" x14ac:dyDescent="0.3">
      <c r="A192" s="1"/>
      <c r="B192" s="14"/>
      <c r="C192" s="1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2" customHeight="1" x14ac:dyDescent="0.3">
      <c r="A193" s="1"/>
      <c r="B193" s="14"/>
      <c r="C193" s="1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2" customHeight="1" x14ac:dyDescent="0.3">
      <c r="A194" s="1"/>
      <c r="B194" s="14"/>
      <c r="C194" s="1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2" customHeight="1" x14ac:dyDescent="0.3">
      <c r="A195" s="1"/>
      <c r="B195" s="14"/>
      <c r="C195" s="1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2" customHeight="1" x14ac:dyDescent="0.3">
      <c r="A196" s="1"/>
      <c r="B196" s="14"/>
      <c r="C196" s="1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2" customHeight="1" x14ac:dyDescent="0.3">
      <c r="A197" s="1"/>
      <c r="B197" s="14"/>
      <c r="C197" s="1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2" customHeight="1" x14ac:dyDescent="0.3">
      <c r="A198" s="1"/>
      <c r="B198" s="14"/>
      <c r="C198" s="1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2" customHeight="1" x14ac:dyDescent="0.3">
      <c r="A199" s="1"/>
      <c r="B199" s="14"/>
      <c r="C199" s="1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2" customHeight="1" x14ac:dyDescent="0.3">
      <c r="A200" s="1"/>
      <c r="B200" s="14"/>
      <c r="C200" s="1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2" customHeight="1" x14ac:dyDescent="0.3">
      <c r="A201" s="1"/>
      <c r="B201" s="14"/>
      <c r="C201" s="1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2" customHeight="1" x14ac:dyDescent="0.3">
      <c r="A202" s="1"/>
      <c r="B202" s="14"/>
      <c r="C202" s="1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2" customHeight="1" x14ac:dyDescent="0.3">
      <c r="A203" s="1"/>
      <c r="B203" s="14"/>
      <c r="C203" s="1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2" customHeight="1" x14ac:dyDescent="0.3">
      <c r="A204" s="1"/>
      <c r="B204" s="14"/>
      <c r="C204" s="1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2" customHeight="1" x14ac:dyDescent="0.3">
      <c r="A205" s="1"/>
      <c r="B205" s="14"/>
      <c r="C205" s="14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2" customHeight="1" x14ac:dyDescent="0.3">
      <c r="A206" s="1"/>
      <c r="B206" s="14"/>
      <c r="C206" s="14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2" customHeight="1" x14ac:dyDescent="0.3">
      <c r="A207" s="1"/>
      <c r="B207" s="14"/>
      <c r="C207" s="14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2" customHeight="1" x14ac:dyDescent="0.3">
      <c r="A208" s="1"/>
      <c r="B208" s="14"/>
      <c r="C208" s="1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2" customHeight="1" x14ac:dyDescent="0.3">
      <c r="A209" s="1"/>
      <c r="B209" s="14"/>
      <c r="C209" s="1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2" customHeight="1" x14ac:dyDescent="0.3">
      <c r="A210" s="1"/>
      <c r="B210" s="14"/>
      <c r="C210" s="1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2" customHeight="1" x14ac:dyDescent="0.3">
      <c r="A211" s="1"/>
      <c r="B211" s="14"/>
      <c r="C211" s="1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2" customHeight="1" x14ac:dyDescent="0.3">
      <c r="A212" s="1"/>
      <c r="B212" s="14"/>
      <c r="C212" s="1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2" customHeight="1" x14ac:dyDescent="0.3">
      <c r="A213" s="1"/>
      <c r="B213" s="14"/>
      <c r="C213" s="1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2" customHeight="1" x14ac:dyDescent="0.3">
      <c r="A214" s="1"/>
      <c r="B214" s="14"/>
      <c r="C214" s="1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2" customHeight="1" x14ac:dyDescent="0.3">
      <c r="A215" s="1"/>
      <c r="B215" s="14"/>
      <c r="C215" s="1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2" customHeight="1" x14ac:dyDescent="0.3">
      <c r="A216" s="1"/>
      <c r="B216" s="14"/>
      <c r="C216" s="1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2" customHeight="1" x14ac:dyDescent="0.3">
      <c r="A217" s="1"/>
      <c r="B217" s="14"/>
      <c r="C217" s="1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2" customHeight="1" x14ac:dyDescent="0.3">
      <c r="A218" s="1"/>
      <c r="B218" s="14"/>
      <c r="C218" s="1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2" customHeight="1" x14ac:dyDescent="0.3">
      <c r="A219" s="1"/>
      <c r="B219" s="14"/>
      <c r="C219" s="1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2" customHeight="1" x14ac:dyDescent="0.3">
      <c r="A220" s="1"/>
      <c r="B220" s="14"/>
      <c r="C220" s="1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2" customHeight="1" x14ac:dyDescent="0.3">
      <c r="A221" s="1"/>
      <c r="B221" s="14"/>
      <c r="C221" s="1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2" customHeight="1" x14ac:dyDescent="0.3">
      <c r="A222" s="1"/>
      <c r="B222" s="14"/>
      <c r="C222" s="1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2" customHeight="1" x14ac:dyDescent="0.3">
      <c r="A223" s="1"/>
      <c r="B223" s="14"/>
      <c r="C223" s="1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2" customHeight="1" x14ac:dyDescent="0.3">
      <c r="A224" s="1"/>
      <c r="B224" s="14"/>
      <c r="C224" s="14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2" customHeight="1" x14ac:dyDescent="0.3">
      <c r="A225" s="1"/>
      <c r="B225" s="14"/>
      <c r="C225" s="14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2" customHeight="1" x14ac:dyDescent="0.3">
      <c r="A226" s="1"/>
      <c r="B226" s="14"/>
      <c r="C226" s="1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2" customHeight="1" x14ac:dyDescent="0.3">
      <c r="A227" s="1"/>
      <c r="B227" s="14"/>
      <c r="C227" s="14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2" customHeight="1" x14ac:dyDescent="0.3">
      <c r="A228" s="1"/>
      <c r="B228" s="14"/>
      <c r="C228" s="14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2" customHeight="1" x14ac:dyDescent="0.3">
      <c r="A229" s="1"/>
      <c r="B229" s="14"/>
      <c r="C229" s="14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2" customHeight="1" x14ac:dyDescent="0.3">
      <c r="A230" s="1"/>
      <c r="B230" s="14"/>
      <c r="C230" s="14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2" customHeight="1" x14ac:dyDescent="0.3">
      <c r="A231" s="1"/>
      <c r="B231" s="14"/>
      <c r="C231" s="14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2" customHeight="1" x14ac:dyDescent="0.3">
      <c r="A232" s="1"/>
      <c r="B232" s="14"/>
      <c r="C232" s="14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2" customHeight="1" x14ac:dyDescent="0.3">
      <c r="A233" s="1"/>
      <c r="B233" s="14"/>
      <c r="C233" s="14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2" customHeight="1" x14ac:dyDescent="0.3">
      <c r="A234" s="1"/>
      <c r="B234" s="14"/>
      <c r="C234" s="14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2" customHeight="1" x14ac:dyDescent="0.3">
      <c r="A235" s="1"/>
      <c r="B235" s="14"/>
      <c r="C235" s="14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2" customHeight="1" x14ac:dyDescent="0.3">
      <c r="A236" s="1"/>
      <c r="B236" s="14"/>
      <c r="C236" s="14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2" customHeight="1" x14ac:dyDescent="0.3">
      <c r="A237" s="1"/>
      <c r="B237" s="14"/>
      <c r="C237" s="14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2" customHeight="1" x14ac:dyDescent="0.3">
      <c r="A238" s="1"/>
      <c r="B238" s="14"/>
      <c r="C238" s="14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2" customHeight="1" x14ac:dyDescent="0.3">
      <c r="A239" s="1"/>
      <c r="B239" s="14"/>
      <c r="C239" s="14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2" customHeight="1" x14ac:dyDescent="0.3">
      <c r="A240" s="1"/>
      <c r="B240" s="14"/>
      <c r="C240" s="14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2" customHeight="1" x14ac:dyDescent="0.3">
      <c r="A241" s="1"/>
      <c r="B241" s="14"/>
      <c r="C241" s="14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2" customHeight="1" x14ac:dyDescent="0.3">
      <c r="A242" s="1"/>
      <c r="B242" s="14"/>
      <c r="C242" s="14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2" customHeight="1" x14ac:dyDescent="0.3">
      <c r="A243" s="1"/>
      <c r="B243" s="14"/>
      <c r="C243" s="14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2" customHeight="1" x14ac:dyDescent="0.3">
      <c r="A244" s="1"/>
      <c r="B244" s="14"/>
      <c r="C244" s="14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2" customHeight="1" x14ac:dyDescent="0.3">
      <c r="A245" s="1"/>
      <c r="B245" s="14"/>
      <c r="C245" s="14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2" customHeight="1" x14ac:dyDescent="0.3">
      <c r="A246" s="1"/>
      <c r="B246" s="14"/>
      <c r="C246" s="14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2" customHeight="1" x14ac:dyDescent="0.3">
      <c r="A247" s="1"/>
      <c r="B247" s="14"/>
      <c r="C247" s="14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2" customHeight="1" x14ac:dyDescent="0.3">
      <c r="A248" s="1"/>
      <c r="B248" s="14"/>
      <c r="C248" s="14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2" customHeight="1" x14ac:dyDescent="0.3">
      <c r="A249" s="1"/>
      <c r="B249" s="14"/>
      <c r="C249" s="14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2" customHeight="1" x14ac:dyDescent="0.3">
      <c r="A250" s="1"/>
      <c r="B250" s="14"/>
      <c r="C250" s="14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2" customHeight="1" x14ac:dyDescent="0.3">
      <c r="A251" s="1"/>
      <c r="B251" s="14"/>
      <c r="C251" s="14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2" customHeight="1" x14ac:dyDescent="0.3">
      <c r="A252" s="1"/>
      <c r="B252" s="14"/>
      <c r="C252" s="14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2" customHeight="1" x14ac:dyDescent="0.3">
      <c r="A253" s="1"/>
      <c r="B253" s="14"/>
      <c r="C253" s="14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2" customHeight="1" x14ac:dyDescent="0.3">
      <c r="A254" s="1"/>
      <c r="B254" s="14"/>
      <c r="C254" s="14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2" customHeight="1" x14ac:dyDescent="0.3">
      <c r="A255" s="1"/>
      <c r="B255" s="14"/>
      <c r="C255" s="1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2" customHeight="1" x14ac:dyDescent="0.3">
      <c r="A256" s="1"/>
      <c r="B256" s="14"/>
      <c r="C256" s="1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2" customHeight="1" x14ac:dyDescent="0.3">
      <c r="A257" s="1"/>
      <c r="B257" s="14"/>
      <c r="C257" s="14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2" customHeight="1" x14ac:dyDescent="0.3">
      <c r="A258" s="1"/>
      <c r="B258" s="14"/>
      <c r="C258" s="14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2" customHeight="1" x14ac:dyDescent="0.3">
      <c r="A259" s="1"/>
      <c r="B259" s="14"/>
      <c r="C259" s="14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2" customHeight="1" x14ac:dyDescent="0.3">
      <c r="A260" s="1"/>
      <c r="B260" s="14"/>
      <c r="C260" s="14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2" customHeight="1" x14ac:dyDescent="0.3">
      <c r="A261" s="1"/>
      <c r="B261" s="14"/>
      <c r="C261" s="14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2" customHeight="1" x14ac:dyDescent="0.3">
      <c r="A262" s="1"/>
      <c r="B262" s="14"/>
      <c r="C262" s="14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2" customHeight="1" x14ac:dyDescent="0.3">
      <c r="A263" s="1"/>
      <c r="B263" s="14"/>
      <c r="C263" s="14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2" customHeight="1" x14ac:dyDescent="0.3">
      <c r="A264" s="1"/>
      <c r="B264" s="14"/>
      <c r="C264" s="14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2" customHeight="1" x14ac:dyDescent="0.3">
      <c r="A265" s="1"/>
      <c r="B265" s="14"/>
      <c r="C265" s="14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2" customHeight="1" x14ac:dyDescent="0.3">
      <c r="A266" s="1"/>
      <c r="B266" s="14"/>
      <c r="C266" s="14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2" customHeight="1" x14ac:dyDescent="0.3">
      <c r="A267" s="1"/>
      <c r="B267" s="14"/>
      <c r="C267" s="14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2" customHeight="1" x14ac:dyDescent="0.3">
      <c r="A268" s="1"/>
      <c r="B268" s="14"/>
      <c r="C268" s="14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2" customHeight="1" x14ac:dyDescent="0.3">
      <c r="A269" s="1"/>
      <c r="B269" s="14"/>
      <c r="C269" s="14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2" customHeight="1" x14ac:dyDescent="0.3">
      <c r="A270" s="1"/>
      <c r="B270" s="14"/>
      <c r="C270" s="14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2" customHeight="1" x14ac:dyDescent="0.3">
      <c r="A271" s="1"/>
      <c r="B271" s="14"/>
      <c r="C271" s="14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2" customHeight="1" x14ac:dyDescent="0.3">
      <c r="A272" s="1"/>
      <c r="B272" s="14"/>
      <c r="C272" s="14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2" customHeight="1" x14ac:dyDescent="0.3">
      <c r="A273" s="1"/>
      <c r="B273" s="14"/>
      <c r="C273" s="1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2" customHeight="1" x14ac:dyDescent="0.3">
      <c r="A274" s="1"/>
      <c r="B274" s="14"/>
      <c r="C274" s="14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2" customHeight="1" x14ac:dyDescent="0.3">
      <c r="A275" s="1"/>
      <c r="B275" s="14"/>
      <c r="C275" s="14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2" customHeight="1" x14ac:dyDescent="0.3">
      <c r="A276" s="1"/>
      <c r="B276" s="14"/>
      <c r="C276" s="14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2" customHeight="1" x14ac:dyDescent="0.3">
      <c r="A277" s="1"/>
      <c r="B277" s="14"/>
      <c r="C277" s="14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2" customHeight="1" x14ac:dyDescent="0.3">
      <c r="A278" s="1"/>
      <c r="B278" s="14"/>
      <c r="C278" s="14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2" customHeight="1" x14ac:dyDescent="0.3">
      <c r="A279" s="1"/>
      <c r="B279" s="14"/>
      <c r="C279" s="1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2" customHeight="1" x14ac:dyDescent="0.3">
      <c r="A280" s="1"/>
      <c r="B280" s="14"/>
      <c r="C280" s="1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2" customHeight="1" x14ac:dyDescent="0.3">
      <c r="A281" s="1"/>
      <c r="B281" s="14"/>
      <c r="C281" s="1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2" customHeight="1" x14ac:dyDescent="0.3">
      <c r="A282" s="1"/>
      <c r="B282" s="14"/>
      <c r="C282" s="1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2" customHeight="1" x14ac:dyDescent="0.3">
      <c r="A283" s="1"/>
      <c r="B283" s="14"/>
      <c r="C283" s="1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2" customHeight="1" x14ac:dyDescent="0.3">
      <c r="A284" s="1"/>
      <c r="B284" s="14"/>
      <c r="C284" s="1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2" customHeight="1" x14ac:dyDescent="0.3">
      <c r="A285" s="1"/>
      <c r="B285" s="14"/>
      <c r="C285" s="1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2" customHeight="1" x14ac:dyDescent="0.3">
      <c r="A286" s="1"/>
      <c r="B286" s="14"/>
      <c r="C286" s="1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2" customHeight="1" x14ac:dyDescent="0.3">
      <c r="A287" s="1"/>
      <c r="B287" s="14"/>
      <c r="C287" s="1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2" customHeight="1" x14ac:dyDescent="0.3">
      <c r="A288" s="1"/>
      <c r="B288" s="14"/>
      <c r="C288" s="1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2" customHeight="1" x14ac:dyDescent="0.3">
      <c r="A289" s="1"/>
      <c r="B289" s="14"/>
      <c r="C289" s="1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2" customHeight="1" x14ac:dyDescent="0.3">
      <c r="A290" s="1"/>
      <c r="B290" s="14"/>
      <c r="C290" s="1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2" customHeight="1" x14ac:dyDescent="0.3">
      <c r="A291" s="1"/>
      <c r="B291" s="14"/>
      <c r="C291" s="1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2" customHeight="1" x14ac:dyDescent="0.3">
      <c r="A292" s="1"/>
      <c r="B292" s="14"/>
      <c r="C292" s="1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2" customHeight="1" x14ac:dyDescent="0.3">
      <c r="A293" s="1"/>
      <c r="B293" s="14"/>
      <c r="C293" s="1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2" customHeight="1" x14ac:dyDescent="0.3">
      <c r="A294" s="1"/>
      <c r="B294" s="14"/>
      <c r="C294" s="1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2" customHeight="1" x14ac:dyDescent="0.3">
      <c r="A295" s="1"/>
      <c r="B295" s="14"/>
      <c r="C295" s="1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2" customHeight="1" x14ac:dyDescent="0.3">
      <c r="A296" s="1"/>
      <c r="B296" s="14"/>
      <c r="C296" s="1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2" customHeight="1" x14ac:dyDescent="0.3">
      <c r="A297" s="1"/>
      <c r="B297" s="14"/>
      <c r="C297" s="1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2" customHeight="1" x14ac:dyDescent="0.3">
      <c r="A298" s="1"/>
      <c r="B298" s="14"/>
      <c r="C298" s="14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2" customHeight="1" x14ac:dyDescent="0.3">
      <c r="A299" s="1"/>
      <c r="B299" s="14"/>
      <c r="C299" s="14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2" customHeight="1" x14ac:dyDescent="0.3">
      <c r="A300" s="1"/>
      <c r="B300" s="14"/>
      <c r="C300" s="14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2" customHeight="1" x14ac:dyDescent="0.3">
      <c r="A301" s="1"/>
      <c r="B301" s="14"/>
      <c r="C301" s="14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2" customHeight="1" x14ac:dyDescent="0.3">
      <c r="A302" s="1"/>
      <c r="B302" s="14"/>
      <c r="C302" s="14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2" customHeight="1" x14ac:dyDescent="0.3">
      <c r="A303" s="1"/>
      <c r="B303" s="14"/>
      <c r="C303" s="14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2" customHeight="1" x14ac:dyDescent="0.3">
      <c r="A304" s="1"/>
      <c r="B304" s="14"/>
      <c r="C304" s="14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2" customHeight="1" x14ac:dyDescent="0.3">
      <c r="A305" s="1"/>
      <c r="B305" s="14"/>
      <c r="C305" s="14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2" customHeight="1" x14ac:dyDescent="0.3">
      <c r="A306" s="1"/>
      <c r="B306" s="14"/>
      <c r="C306" s="14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2" customHeight="1" x14ac:dyDescent="0.3">
      <c r="A307" s="1"/>
      <c r="B307" s="14"/>
      <c r="C307" s="14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2" customHeight="1" x14ac:dyDescent="0.3">
      <c r="A308" s="1"/>
      <c r="B308" s="14"/>
      <c r="C308" s="14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2" customHeight="1" x14ac:dyDescent="0.3">
      <c r="A309" s="1"/>
      <c r="B309" s="14"/>
      <c r="C309" s="14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2" customHeight="1" x14ac:dyDescent="0.3">
      <c r="A310" s="1"/>
      <c r="B310" s="14"/>
      <c r="C310" s="14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2" customHeight="1" x14ac:dyDescent="0.3">
      <c r="A311" s="1"/>
      <c r="B311" s="14"/>
      <c r="C311" s="14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2" customHeight="1" x14ac:dyDescent="0.3">
      <c r="A312" s="1"/>
      <c r="B312" s="14"/>
      <c r="C312" s="14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2" customHeight="1" x14ac:dyDescent="0.3">
      <c r="A313" s="1"/>
      <c r="B313" s="14"/>
      <c r="C313" s="14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2" customHeight="1" x14ac:dyDescent="0.3">
      <c r="A314" s="1"/>
      <c r="B314" s="14"/>
      <c r="C314" s="14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2" customHeight="1" x14ac:dyDescent="0.3">
      <c r="A315" s="1"/>
      <c r="B315" s="14"/>
      <c r="C315" s="14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2" customHeight="1" x14ac:dyDescent="0.3">
      <c r="A316" s="1"/>
      <c r="B316" s="14"/>
      <c r="C316" s="14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2" customHeight="1" x14ac:dyDescent="0.3">
      <c r="A317" s="1"/>
      <c r="B317" s="14"/>
      <c r="C317" s="14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2" customHeight="1" x14ac:dyDescent="0.3">
      <c r="A318" s="1"/>
      <c r="B318" s="14"/>
      <c r="C318" s="14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2" customHeight="1" x14ac:dyDescent="0.3">
      <c r="A319" s="1"/>
      <c r="B319" s="14"/>
      <c r="C319" s="14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2" customHeight="1" x14ac:dyDescent="0.3">
      <c r="A320" s="1"/>
      <c r="B320" s="14"/>
      <c r="C320" s="14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2" customHeight="1" x14ac:dyDescent="0.3">
      <c r="A321" s="1"/>
      <c r="B321" s="14"/>
      <c r="C321" s="14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2" customHeight="1" x14ac:dyDescent="0.3">
      <c r="A322" s="1"/>
      <c r="B322" s="14"/>
      <c r="C322" s="14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2" customHeight="1" x14ac:dyDescent="0.3">
      <c r="A323" s="1"/>
      <c r="B323" s="14"/>
      <c r="C323" s="1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2" customHeight="1" x14ac:dyDescent="0.3">
      <c r="A324" s="1"/>
      <c r="B324" s="14"/>
      <c r="C324" s="1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2" customHeight="1" x14ac:dyDescent="0.3">
      <c r="A325" s="1"/>
      <c r="B325" s="14"/>
      <c r="C325" s="1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2" customHeight="1" x14ac:dyDescent="0.3">
      <c r="A326" s="1"/>
      <c r="B326" s="14"/>
      <c r="C326" s="1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2" customHeight="1" x14ac:dyDescent="0.3">
      <c r="A327" s="1"/>
      <c r="B327" s="14"/>
      <c r="C327" s="1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2" customHeight="1" x14ac:dyDescent="0.3">
      <c r="A328" s="1"/>
      <c r="B328" s="14"/>
      <c r="C328" s="1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2" customHeight="1" x14ac:dyDescent="0.3">
      <c r="A329" s="1"/>
      <c r="B329" s="14"/>
      <c r="C329" s="1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2" customHeight="1" x14ac:dyDescent="0.3">
      <c r="A330" s="1"/>
      <c r="B330" s="14"/>
      <c r="C330" s="14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2" customHeight="1" x14ac:dyDescent="0.3">
      <c r="A331" s="1"/>
      <c r="B331" s="14"/>
      <c r="C331" s="1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2" customHeight="1" x14ac:dyDescent="0.3">
      <c r="A332" s="1"/>
      <c r="B332" s="14"/>
      <c r="C332" s="1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2" customHeight="1" x14ac:dyDescent="0.3">
      <c r="A333" s="1"/>
      <c r="B333" s="14"/>
      <c r="C333" s="1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2" customHeight="1" x14ac:dyDescent="0.3">
      <c r="A334" s="1"/>
      <c r="B334" s="14"/>
      <c r="C334" s="1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2" customHeight="1" x14ac:dyDescent="0.3">
      <c r="A335" s="1"/>
      <c r="B335" s="14"/>
      <c r="C335" s="1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2" customHeight="1" x14ac:dyDescent="0.3">
      <c r="A336" s="1"/>
      <c r="B336" s="14"/>
      <c r="C336" s="1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2" customHeight="1" x14ac:dyDescent="0.3">
      <c r="A337" s="1"/>
      <c r="B337" s="14"/>
      <c r="C337" s="1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2" customHeight="1" x14ac:dyDescent="0.3">
      <c r="A338" s="1"/>
      <c r="B338" s="14"/>
      <c r="C338" s="1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2" customHeight="1" x14ac:dyDescent="0.3">
      <c r="A339" s="1"/>
      <c r="B339" s="14"/>
      <c r="C339" s="1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2" customHeight="1" x14ac:dyDescent="0.3">
      <c r="A340" s="1"/>
      <c r="B340" s="14"/>
      <c r="C340" s="1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2" customHeight="1" x14ac:dyDescent="0.3">
      <c r="A341" s="1"/>
      <c r="B341" s="14"/>
      <c r="C341" s="1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2" customHeight="1" x14ac:dyDescent="0.3">
      <c r="A342" s="1"/>
      <c r="B342" s="14"/>
      <c r="C342" s="1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2" customHeight="1" x14ac:dyDescent="0.3">
      <c r="A343" s="1"/>
      <c r="B343" s="14"/>
      <c r="C343" s="1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2" customHeight="1" x14ac:dyDescent="0.3">
      <c r="A344" s="1"/>
      <c r="B344" s="14"/>
      <c r="C344" s="1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2" customHeight="1" x14ac:dyDescent="0.3">
      <c r="A345" s="1"/>
      <c r="B345" s="14"/>
      <c r="C345" s="1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2" customHeight="1" x14ac:dyDescent="0.3">
      <c r="A346" s="1"/>
      <c r="B346" s="14"/>
      <c r="C346" s="1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2" customHeight="1" x14ac:dyDescent="0.3">
      <c r="A347" s="1"/>
      <c r="B347" s="14"/>
      <c r="C347" s="1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2" customHeight="1" x14ac:dyDescent="0.3">
      <c r="A348" s="1"/>
      <c r="B348" s="14"/>
      <c r="C348" s="1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2" customHeight="1" x14ac:dyDescent="0.3">
      <c r="A349" s="1"/>
      <c r="B349" s="14"/>
      <c r="C349" s="1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2" customHeight="1" x14ac:dyDescent="0.3">
      <c r="A350" s="1"/>
      <c r="B350" s="14"/>
      <c r="C350" s="1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2" customHeight="1" x14ac:dyDescent="0.3">
      <c r="A351" s="1"/>
      <c r="B351" s="14"/>
      <c r="C351" s="1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2" customHeight="1" x14ac:dyDescent="0.3">
      <c r="A352" s="1"/>
      <c r="B352" s="14"/>
      <c r="C352" s="1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2" customHeight="1" x14ac:dyDescent="0.3">
      <c r="A353" s="1"/>
      <c r="B353" s="14"/>
      <c r="C353" s="1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2" customHeight="1" x14ac:dyDescent="0.3">
      <c r="A354" s="1"/>
      <c r="B354" s="14"/>
      <c r="C354" s="1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2" customHeight="1" x14ac:dyDescent="0.3">
      <c r="A355" s="1"/>
      <c r="B355" s="14"/>
      <c r="C355" s="1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2" customHeight="1" x14ac:dyDescent="0.3">
      <c r="A356" s="1"/>
      <c r="B356" s="14"/>
      <c r="C356" s="1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2" customHeight="1" x14ac:dyDescent="0.3">
      <c r="A357" s="1"/>
      <c r="B357" s="14"/>
      <c r="C357" s="1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2" customHeight="1" x14ac:dyDescent="0.3">
      <c r="A358" s="1"/>
      <c r="B358" s="14"/>
      <c r="C358" s="1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2" customHeight="1" x14ac:dyDescent="0.3">
      <c r="A359" s="1"/>
      <c r="B359" s="14"/>
      <c r="C359" s="1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2" customHeight="1" x14ac:dyDescent="0.3">
      <c r="A360" s="1"/>
      <c r="B360" s="14"/>
      <c r="C360" s="1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2" customHeight="1" x14ac:dyDescent="0.3">
      <c r="A361" s="1"/>
      <c r="B361" s="14"/>
      <c r="C361" s="1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2" customHeight="1" x14ac:dyDescent="0.3">
      <c r="A362" s="1"/>
      <c r="B362" s="14"/>
      <c r="C362" s="1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2" customHeight="1" x14ac:dyDescent="0.3">
      <c r="A363" s="1"/>
      <c r="B363" s="14"/>
      <c r="C363" s="1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2" customHeight="1" x14ac:dyDescent="0.3">
      <c r="A364" s="1"/>
      <c r="B364" s="14"/>
      <c r="C364" s="1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2" customHeight="1" x14ac:dyDescent="0.3">
      <c r="A365" s="1"/>
      <c r="B365" s="14"/>
      <c r="C365" s="1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2" customHeight="1" x14ac:dyDescent="0.3">
      <c r="A366" s="1"/>
      <c r="B366" s="14"/>
      <c r="C366" s="1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2" customHeight="1" x14ac:dyDescent="0.3">
      <c r="A367" s="1"/>
      <c r="B367" s="14"/>
      <c r="C367" s="1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2" customHeight="1" x14ac:dyDescent="0.3">
      <c r="A368" s="1"/>
      <c r="B368" s="14"/>
      <c r="C368" s="1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2" customHeight="1" x14ac:dyDescent="0.3">
      <c r="A369" s="1"/>
      <c r="B369" s="14"/>
      <c r="C369" s="1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2" customHeight="1" x14ac:dyDescent="0.3">
      <c r="A370" s="1"/>
      <c r="B370" s="14"/>
      <c r="C370" s="1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2" customHeight="1" x14ac:dyDescent="0.3">
      <c r="A371" s="1"/>
      <c r="B371" s="14"/>
      <c r="C371" s="1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2" customHeight="1" x14ac:dyDescent="0.3">
      <c r="A372" s="1"/>
      <c r="B372" s="14"/>
      <c r="C372" s="1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2" customHeight="1" x14ac:dyDescent="0.3">
      <c r="A373" s="1"/>
      <c r="B373" s="14"/>
      <c r="C373" s="1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2" customHeight="1" x14ac:dyDescent="0.3">
      <c r="A374" s="1"/>
      <c r="B374" s="14"/>
      <c r="C374" s="1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2" customHeight="1" x14ac:dyDescent="0.3">
      <c r="A375" s="1"/>
      <c r="B375" s="14"/>
      <c r="C375" s="1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2" customHeight="1" x14ac:dyDescent="0.3">
      <c r="A376" s="1"/>
      <c r="B376" s="14"/>
      <c r="C376" s="1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2" customHeight="1" x14ac:dyDescent="0.3">
      <c r="A377" s="1"/>
      <c r="B377" s="14"/>
      <c r="C377" s="1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2" customHeight="1" x14ac:dyDescent="0.3">
      <c r="A378" s="1"/>
      <c r="B378" s="14"/>
      <c r="C378" s="1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2" customHeight="1" x14ac:dyDescent="0.3">
      <c r="A379" s="1"/>
      <c r="B379" s="14"/>
      <c r="C379" s="1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2" customHeight="1" x14ac:dyDescent="0.3">
      <c r="A380" s="1"/>
      <c r="B380" s="14"/>
      <c r="C380" s="1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2" customHeight="1" x14ac:dyDescent="0.3">
      <c r="A381" s="1"/>
      <c r="B381" s="14"/>
      <c r="C381" s="1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2" customHeight="1" x14ac:dyDescent="0.3">
      <c r="A382" s="1"/>
      <c r="B382" s="14"/>
      <c r="C382" s="1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2" customHeight="1" x14ac:dyDescent="0.3">
      <c r="A383" s="1"/>
      <c r="B383" s="14"/>
      <c r="C383" s="1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2" customHeight="1" x14ac:dyDescent="0.3">
      <c r="A384" s="1"/>
      <c r="B384" s="14"/>
      <c r="C384" s="1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2" customHeight="1" x14ac:dyDescent="0.3">
      <c r="A385" s="1"/>
      <c r="B385" s="14"/>
      <c r="C385" s="1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2" customHeight="1" x14ac:dyDescent="0.3">
      <c r="A386" s="1"/>
      <c r="B386" s="14"/>
      <c r="C386" s="1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2" customHeight="1" x14ac:dyDescent="0.3">
      <c r="A387" s="1"/>
      <c r="B387" s="14"/>
      <c r="C387" s="1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2" customHeight="1" x14ac:dyDescent="0.3">
      <c r="A388" s="1"/>
      <c r="B388" s="14"/>
      <c r="C388" s="1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2" customHeight="1" x14ac:dyDescent="0.3">
      <c r="A389" s="1"/>
      <c r="B389" s="14"/>
      <c r="C389" s="1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2" customHeight="1" x14ac:dyDescent="0.3">
      <c r="A390" s="1"/>
      <c r="B390" s="14"/>
      <c r="C390" s="1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2" customHeight="1" x14ac:dyDescent="0.3">
      <c r="A391" s="1"/>
      <c r="B391" s="14"/>
      <c r="C391" s="1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2" customHeight="1" x14ac:dyDescent="0.3">
      <c r="A392" s="1"/>
      <c r="B392" s="14"/>
      <c r="C392" s="1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2" customHeight="1" x14ac:dyDescent="0.3">
      <c r="A393" s="1"/>
      <c r="B393" s="14"/>
      <c r="C393" s="1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2" customHeight="1" x14ac:dyDescent="0.3">
      <c r="A394" s="1"/>
      <c r="B394" s="14"/>
      <c r="C394" s="1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2" customHeight="1" x14ac:dyDescent="0.3">
      <c r="A395" s="1"/>
      <c r="B395" s="14"/>
      <c r="C395" s="1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2" customHeight="1" x14ac:dyDescent="0.3">
      <c r="A396" s="1"/>
      <c r="B396" s="14"/>
      <c r="C396" s="1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2" customHeight="1" x14ac:dyDescent="0.3">
      <c r="A397" s="1"/>
      <c r="B397" s="14"/>
      <c r="C397" s="1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2" customHeight="1" x14ac:dyDescent="0.3">
      <c r="A398" s="1"/>
      <c r="B398" s="14"/>
      <c r="C398" s="1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2" customHeight="1" x14ac:dyDescent="0.3">
      <c r="A399" s="1"/>
      <c r="B399" s="14"/>
      <c r="C399" s="1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2" customHeight="1" x14ac:dyDescent="0.3">
      <c r="A400" s="1"/>
      <c r="B400" s="14"/>
      <c r="C400" s="1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2" customHeight="1" x14ac:dyDescent="0.3">
      <c r="A401" s="1"/>
      <c r="B401" s="14"/>
      <c r="C401" s="1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2" customHeight="1" x14ac:dyDescent="0.3">
      <c r="A402" s="1"/>
      <c r="B402" s="14"/>
      <c r="C402" s="1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2" customHeight="1" x14ac:dyDescent="0.3">
      <c r="A403" s="1"/>
      <c r="B403" s="14"/>
      <c r="C403" s="1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2" customHeight="1" x14ac:dyDescent="0.3">
      <c r="A404" s="1"/>
      <c r="B404" s="14"/>
      <c r="C404" s="1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2" customHeight="1" x14ac:dyDescent="0.3">
      <c r="A405" s="1"/>
      <c r="B405" s="14"/>
      <c r="C405" s="1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2" customHeight="1" x14ac:dyDescent="0.3">
      <c r="A406" s="1"/>
      <c r="B406" s="14"/>
      <c r="C406" s="1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2" customHeight="1" x14ac:dyDescent="0.3">
      <c r="A407" s="1"/>
      <c r="B407" s="14"/>
      <c r="C407" s="1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2" customHeight="1" x14ac:dyDescent="0.3">
      <c r="A408" s="1"/>
      <c r="B408" s="14"/>
      <c r="C408" s="1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2" customHeight="1" x14ac:dyDescent="0.3">
      <c r="A409" s="1"/>
      <c r="B409" s="14"/>
      <c r="C409" s="1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2" customHeight="1" x14ac:dyDescent="0.3">
      <c r="A410" s="1"/>
      <c r="B410" s="14"/>
      <c r="C410" s="1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2" customHeight="1" x14ac:dyDescent="0.3">
      <c r="A411" s="1"/>
      <c r="B411" s="14"/>
      <c r="C411" s="1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2" customHeight="1" x14ac:dyDescent="0.3">
      <c r="A412" s="1"/>
      <c r="B412" s="14"/>
      <c r="C412" s="1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2" customHeight="1" x14ac:dyDescent="0.3">
      <c r="A413" s="1"/>
      <c r="B413" s="14"/>
      <c r="C413" s="1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2" customHeight="1" x14ac:dyDescent="0.3">
      <c r="A414" s="1"/>
      <c r="B414" s="14"/>
      <c r="C414" s="1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2" customHeight="1" x14ac:dyDescent="0.3">
      <c r="A415" s="1"/>
      <c r="B415" s="14"/>
      <c r="C415" s="1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2" customHeight="1" x14ac:dyDescent="0.3">
      <c r="A416" s="1"/>
      <c r="B416" s="14"/>
      <c r="C416" s="1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2" customHeight="1" x14ac:dyDescent="0.3">
      <c r="A417" s="1"/>
      <c r="B417" s="14"/>
      <c r="C417" s="1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2" customHeight="1" x14ac:dyDescent="0.3">
      <c r="A418" s="1"/>
      <c r="B418" s="14"/>
      <c r="C418" s="1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2" customHeight="1" x14ac:dyDescent="0.3">
      <c r="A419" s="1"/>
      <c r="B419" s="14"/>
      <c r="C419" s="1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2" customHeight="1" x14ac:dyDescent="0.3">
      <c r="A420" s="1"/>
      <c r="B420" s="14"/>
      <c r="C420" s="1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2" customHeight="1" x14ac:dyDescent="0.3">
      <c r="A421" s="1"/>
      <c r="B421" s="14"/>
      <c r="C421" s="1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2" customHeight="1" x14ac:dyDescent="0.3">
      <c r="A422" s="1"/>
      <c r="B422" s="14"/>
      <c r="C422" s="1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2" customHeight="1" x14ac:dyDescent="0.3">
      <c r="A423" s="1"/>
      <c r="B423" s="14"/>
      <c r="C423" s="1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2" customHeight="1" x14ac:dyDescent="0.3">
      <c r="A424" s="1"/>
      <c r="B424" s="14"/>
      <c r="C424" s="1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2" customHeight="1" x14ac:dyDescent="0.3">
      <c r="A425" s="1"/>
      <c r="B425" s="14"/>
      <c r="C425" s="1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2" customHeight="1" x14ac:dyDescent="0.3">
      <c r="A426" s="1"/>
      <c r="B426" s="14"/>
      <c r="C426" s="1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2" customHeight="1" x14ac:dyDescent="0.3">
      <c r="A427" s="1"/>
      <c r="B427" s="14"/>
      <c r="C427" s="1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2" customHeight="1" x14ac:dyDescent="0.3">
      <c r="A428" s="1"/>
      <c r="B428" s="14"/>
      <c r="C428" s="1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2" customHeight="1" x14ac:dyDescent="0.3">
      <c r="A429" s="1"/>
      <c r="B429" s="14"/>
      <c r="C429" s="1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2" customHeight="1" x14ac:dyDescent="0.3">
      <c r="A430" s="1"/>
      <c r="B430" s="14"/>
      <c r="C430" s="1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2" customHeight="1" x14ac:dyDescent="0.3">
      <c r="A431" s="1"/>
      <c r="B431" s="14"/>
      <c r="C431" s="1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2" customHeight="1" x14ac:dyDescent="0.3">
      <c r="A432" s="1"/>
      <c r="B432" s="14"/>
      <c r="C432" s="1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2" customHeight="1" x14ac:dyDescent="0.3">
      <c r="A433" s="1"/>
      <c r="B433" s="14"/>
      <c r="C433" s="1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2" customHeight="1" x14ac:dyDescent="0.3">
      <c r="A434" s="1"/>
      <c r="B434" s="14"/>
      <c r="C434" s="1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2" customHeight="1" x14ac:dyDescent="0.3">
      <c r="A435" s="1"/>
      <c r="B435" s="14"/>
      <c r="C435" s="1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2" customHeight="1" x14ac:dyDescent="0.3">
      <c r="A436" s="1"/>
      <c r="B436" s="14"/>
      <c r="C436" s="1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2" customHeight="1" x14ac:dyDescent="0.3">
      <c r="A437" s="1"/>
      <c r="B437" s="14"/>
      <c r="C437" s="1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2" customHeight="1" x14ac:dyDescent="0.3">
      <c r="A438" s="1"/>
      <c r="B438" s="14"/>
      <c r="C438" s="1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2" customHeight="1" x14ac:dyDescent="0.3">
      <c r="A439" s="1"/>
      <c r="B439" s="14"/>
      <c r="C439" s="1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2" customHeight="1" x14ac:dyDescent="0.3">
      <c r="A440" s="1"/>
      <c r="B440" s="14"/>
      <c r="C440" s="1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2" customHeight="1" x14ac:dyDescent="0.3">
      <c r="A441" s="1"/>
      <c r="B441" s="14"/>
      <c r="C441" s="1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2" customHeight="1" x14ac:dyDescent="0.3">
      <c r="A442" s="1"/>
      <c r="B442" s="14"/>
      <c r="C442" s="1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2" customHeight="1" x14ac:dyDescent="0.3">
      <c r="A443" s="1"/>
      <c r="B443" s="14"/>
      <c r="C443" s="1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2" customHeight="1" x14ac:dyDescent="0.3">
      <c r="A444" s="1"/>
      <c r="B444" s="14"/>
      <c r="C444" s="1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2" customHeight="1" x14ac:dyDescent="0.3">
      <c r="A445" s="1"/>
      <c r="B445" s="14"/>
      <c r="C445" s="1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2" customHeight="1" x14ac:dyDescent="0.3">
      <c r="A446" s="1"/>
      <c r="B446" s="14"/>
      <c r="C446" s="1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2" customHeight="1" x14ac:dyDescent="0.3">
      <c r="A447" s="1"/>
      <c r="B447" s="14"/>
      <c r="C447" s="1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2" customHeight="1" x14ac:dyDescent="0.3">
      <c r="A448" s="1"/>
      <c r="B448" s="14"/>
      <c r="C448" s="1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2" customHeight="1" x14ac:dyDescent="0.3">
      <c r="A449" s="1"/>
      <c r="B449" s="14"/>
      <c r="C449" s="1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2" customHeight="1" x14ac:dyDescent="0.3">
      <c r="A450" s="1"/>
      <c r="B450" s="14"/>
      <c r="C450" s="1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2" customHeight="1" x14ac:dyDescent="0.3">
      <c r="A451" s="1"/>
      <c r="B451" s="14"/>
      <c r="C451" s="1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2" customHeight="1" x14ac:dyDescent="0.3">
      <c r="A452" s="1"/>
      <c r="B452" s="14"/>
      <c r="C452" s="1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2" customHeight="1" x14ac:dyDescent="0.3">
      <c r="A453" s="1"/>
      <c r="B453" s="14"/>
      <c r="C453" s="1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2" customHeight="1" x14ac:dyDescent="0.3">
      <c r="A454" s="1"/>
      <c r="B454" s="14"/>
      <c r="C454" s="1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2" customHeight="1" x14ac:dyDescent="0.3">
      <c r="A455" s="1"/>
      <c r="B455" s="14"/>
      <c r="C455" s="1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2" customHeight="1" x14ac:dyDescent="0.3">
      <c r="A456" s="1"/>
      <c r="B456" s="14"/>
      <c r="C456" s="1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2" customHeight="1" x14ac:dyDescent="0.3">
      <c r="A457" s="1"/>
      <c r="B457" s="14"/>
      <c r="C457" s="1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2" customHeight="1" x14ac:dyDescent="0.3">
      <c r="A458" s="1"/>
      <c r="B458" s="14"/>
      <c r="C458" s="1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2" customHeight="1" x14ac:dyDescent="0.3">
      <c r="A459" s="1"/>
      <c r="B459" s="14"/>
      <c r="C459" s="1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2" customHeight="1" x14ac:dyDescent="0.3">
      <c r="A460" s="1"/>
      <c r="B460" s="14"/>
      <c r="C460" s="1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2" customHeight="1" x14ac:dyDescent="0.3">
      <c r="A461" s="1"/>
      <c r="B461" s="14"/>
      <c r="C461" s="1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2" customHeight="1" x14ac:dyDescent="0.3">
      <c r="A462" s="1"/>
      <c r="B462" s="14"/>
      <c r="C462" s="1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2" customHeight="1" x14ac:dyDescent="0.3">
      <c r="A463" s="1"/>
      <c r="B463" s="14"/>
      <c r="C463" s="1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2" customHeight="1" x14ac:dyDescent="0.3">
      <c r="A464" s="1"/>
      <c r="B464" s="14"/>
      <c r="C464" s="1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2" customHeight="1" x14ac:dyDescent="0.3">
      <c r="A465" s="1"/>
      <c r="B465" s="14"/>
      <c r="C465" s="1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2" customHeight="1" x14ac:dyDescent="0.3">
      <c r="A466" s="1"/>
      <c r="B466" s="14"/>
      <c r="C466" s="1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2" customHeight="1" x14ac:dyDescent="0.3">
      <c r="A467" s="1"/>
      <c r="B467" s="14"/>
      <c r="C467" s="1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2" customHeight="1" x14ac:dyDescent="0.3">
      <c r="A468" s="1"/>
      <c r="B468" s="14"/>
      <c r="C468" s="1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2" customHeight="1" x14ac:dyDescent="0.3">
      <c r="A469" s="1"/>
      <c r="B469" s="14"/>
      <c r="C469" s="1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2" customHeight="1" x14ac:dyDescent="0.3">
      <c r="A470" s="1"/>
      <c r="B470" s="14"/>
      <c r="C470" s="1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2" customHeight="1" x14ac:dyDescent="0.3">
      <c r="A471" s="1"/>
      <c r="B471" s="14"/>
      <c r="C471" s="1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2" customHeight="1" x14ac:dyDescent="0.3">
      <c r="A472" s="1"/>
      <c r="B472" s="14"/>
      <c r="C472" s="1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2" customHeight="1" x14ac:dyDescent="0.3">
      <c r="A473" s="1"/>
      <c r="B473" s="14"/>
      <c r="C473" s="1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2" customHeight="1" x14ac:dyDescent="0.3">
      <c r="A474" s="1"/>
      <c r="B474" s="14"/>
      <c r="C474" s="1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2" customHeight="1" x14ac:dyDescent="0.3">
      <c r="A475" s="1"/>
      <c r="B475" s="14"/>
      <c r="C475" s="1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2" customHeight="1" x14ac:dyDescent="0.3">
      <c r="A476" s="1"/>
      <c r="B476" s="14"/>
      <c r="C476" s="1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2" customHeight="1" x14ac:dyDescent="0.3">
      <c r="A477" s="1"/>
      <c r="B477" s="14"/>
      <c r="C477" s="1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2" customHeight="1" x14ac:dyDescent="0.3">
      <c r="A478" s="1"/>
      <c r="B478" s="14"/>
      <c r="C478" s="1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2" customHeight="1" x14ac:dyDescent="0.3">
      <c r="A479" s="1"/>
      <c r="B479" s="14"/>
      <c r="C479" s="1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2" customHeight="1" x14ac:dyDescent="0.3">
      <c r="A480" s="1"/>
      <c r="B480" s="14"/>
      <c r="C480" s="1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2" customHeight="1" x14ac:dyDescent="0.3">
      <c r="A481" s="1"/>
      <c r="B481" s="14"/>
      <c r="C481" s="1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2" customHeight="1" x14ac:dyDescent="0.3">
      <c r="A482" s="1"/>
      <c r="B482" s="14"/>
      <c r="C482" s="1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2" customHeight="1" x14ac:dyDescent="0.3">
      <c r="A483" s="1"/>
      <c r="B483" s="14"/>
      <c r="C483" s="1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2" customHeight="1" x14ac:dyDescent="0.3">
      <c r="A484" s="1"/>
      <c r="B484" s="14"/>
      <c r="C484" s="1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2" customHeight="1" x14ac:dyDescent="0.3">
      <c r="A485" s="1"/>
      <c r="B485" s="14"/>
      <c r="C485" s="1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2" customHeight="1" x14ac:dyDescent="0.3">
      <c r="A486" s="1"/>
      <c r="B486" s="14"/>
      <c r="C486" s="1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2" customHeight="1" x14ac:dyDescent="0.3">
      <c r="A487" s="1"/>
      <c r="B487" s="14"/>
      <c r="C487" s="1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2" customHeight="1" x14ac:dyDescent="0.3">
      <c r="A488" s="1"/>
      <c r="B488" s="14"/>
      <c r="C488" s="1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2" customHeight="1" x14ac:dyDescent="0.3">
      <c r="A489" s="1"/>
      <c r="B489" s="14"/>
      <c r="C489" s="1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2" customHeight="1" x14ac:dyDescent="0.3">
      <c r="A490" s="1"/>
      <c r="B490" s="14"/>
      <c r="C490" s="1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2" customHeight="1" x14ac:dyDescent="0.3">
      <c r="A491" s="1"/>
      <c r="B491" s="14"/>
      <c r="C491" s="1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2" customHeight="1" x14ac:dyDescent="0.3">
      <c r="A492" s="1"/>
      <c r="B492" s="14"/>
      <c r="C492" s="1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2" customHeight="1" x14ac:dyDescent="0.3">
      <c r="A493" s="1"/>
      <c r="B493" s="14"/>
      <c r="C493" s="1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2" customHeight="1" x14ac:dyDescent="0.3">
      <c r="A494" s="1"/>
      <c r="B494" s="14"/>
      <c r="C494" s="1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2" customHeight="1" x14ac:dyDescent="0.3">
      <c r="A495" s="1"/>
      <c r="B495" s="14"/>
      <c r="C495" s="1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2" customHeight="1" x14ac:dyDescent="0.3">
      <c r="A496" s="1"/>
      <c r="B496" s="14"/>
      <c r="C496" s="1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2" customHeight="1" x14ac:dyDescent="0.3">
      <c r="A497" s="1"/>
      <c r="B497" s="14"/>
      <c r="C497" s="1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2" customHeight="1" x14ac:dyDescent="0.3">
      <c r="A498" s="1"/>
      <c r="B498" s="14"/>
      <c r="C498" s="1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2" customHeight="1" x14ac:dyDescent="0.3">
      <c r="A499" s="1"/>
      <c r="B499" s="14"/>
      <c r="C499" s="1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2" customHeight="1" x14ac:dyDescent="0.3">
      <c r="A500" s="1"/>
      <c r="B500" s="14"/>
      <c r="C500" s="1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2" customHeight="1" x14ac:dyDescent="0.3">
      <c r="A501" s="1"/>
      <c r="B501" s="14"/>
      <c r="C501" s="1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2" customHeight="1" x14ac:dyDescent="0.3">
      <c r="A502" s="1"/>
      <c r="B502" s="14"/>
      <c r="C502" s="1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2" customHeight="1" x14ac:dyDescent="0.3">
      <c r="A503" s="1"/>
      <c r="B503" s="14"/>
      <c r="C503" s="1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2" customHeight="1" x14ac:dyDescent="0.3">
      <c r="A504" s="1"/>
      <c r="B504" s="14"/>
      <c r="C504" s="1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2" customHeight="1" x14ac:dyDescent="0.3">
      <c r="A505" s="1"/>
      <c r="B505" s="14"/>
      <c r="C505" s="1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2" customHeight="1" x14ac:dyDescent="0.3">
      <c r="A506" s="1"/>
      <c r="B506" s="14"/>
      <c r="C506" s="1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2" customHeight="1" x14ac:dyDescent="0.3">
      <c r="A507" s="1"/>
      <c r="B507" s="14"/>
      <c r="C507" s="1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2" customHeight="1" x14ac:dyDescent="0.3">
      <c r="A508" s="1"/>
      <c r="B508" s="14"/>
      <c r="C508" s="1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2" customHeight="1" x14ac:dyDescent="0.3">
      <c r="A509" s="1"/>
      <c r="B509" s="14"/>
      <c r="C509" s="1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2" customHeight="1" x14ac:dyDescent="0.3">
      <c r="A510" s="1"/>
      <c r="B510" s="14"/>
      <c r="C510" s="1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2" customHeight="1" x14ac:dyDescent="0.3">
      <c r="A511" s="1"/>
      <c r="B511" s="14"/>
      <c r="C511" s="1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2" customHeight="1" x14ac:dyDescent="0.3">
      <c r="A512" s="1"/>
      <c r="B512" s="14"/>
      <c r="C512" s="1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2" customHeight="1" x14ac:dyDescent="0.3">
      <c r="A513" s="1"/>
      <c r="B513" s="14"/>
      <c r="C513" s="1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2" customHeight="1" x14ac:dyDescent="0.3">
      <c r="A514" s="1"/>
      <c r="B514" s="14"/>
      <c r="C514" s="1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2" customHeight="1" x14ac:dyDescent="0.3">
      <c r="A515" s="1"/>
      <c r="B515" s="14"/>
      <c r="C515" s="1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2" customHeight="1" x14ac:dyDescent="0.3">
      <c r="A516" s="1"/>
      <c r="B516" s="14"/>
      <c r="C516" s="1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2" customHeight="1" x14ac:dyDescent="0.3">
      <c r="A517" s="1"/>
      <c r="B517" s="14"/>
      <c r="C517" s="1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2" customHeight="1" x14ac:dyDescent="0.3">
      <c r="A518" s="1"/>
      <c r="B518" s="14"/>
      <c r="C518" s="1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2" customHeight="1" x14ac:dyDescent="0.3">
      <c r="A519" s="1"/>
      <c r="B519" s="14"/>
      <c r="C519" s="1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2" customHeight="1" x14ac:dyDescent="0.3">
      <c r="A520" s="1"/>
      <c r="B520" s="14"/>
      <c r="C520" s="1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2" customHeight="1" x14ac:dyDescent="0.3">
      <c r="A521" s="1"/>
      <c r="B521" s="14"/>
      <c r="C521" s="1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2" customHeight="1" x14ac:dyDescent="0.3">
      <c r="A522" s="1"/>
      <c r="B522" s="14"/>
      <c r="C522" s="1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2" customHeight="1" x14ac:dyDescent="0.3">
      <c r="A523" s="1"/>
      <c r="B523" s="14"/>
      <c r="C523" s="1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2" customHeight="1" x14ac:dyDescent="0.3">
      <c r="A524" s="1"/>
      <c r="B524" s="14"/>
      <c r="C524" s="1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2" customHeight="1" x14ac:dyDescent="0.3">
      <c r="A525" s="1"/>
      <c r="B525" s="14"/>
      <c r="C525" s="1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2" customHeight="1" x14ac:dyDescent="0.3">
      <c r="A526" s="1"/>
      <c r="B526" s="14"/>
      <c r="C526" s="1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2" customHeight="1" x14ac:dyDescent="0.3">
      <c r="A527" s="1"/>
      <c r="B527" s="14"/>
      <c r="C527" s="1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2" customHeight="1" x14ac:dyDescent="0.3">
      <c r="A528" s="1"/>
      <c r="B528" s="14"/>
      <c r="C528" s="1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2" customHeight="1" x14ac:dyDescent="0.3">
      <c r="A529" s="1"/>
      <c r="B529" s="14"/>
      <c r="C529" s="1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2" customHeight="1" x14ac:dyDescent="0.3">
      <c r="A530" s="1"/>
      <c r="B530" s="14"/>
      <c r="C530" s="1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2" customHeight="1" x14ac:dyDescent="0.3">
      <c r="A531" s="1"/>
      <c r="B531" s="14"/>
      <c r="C531" s="1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2" customHeight="1" x14ac:dyDescent="0.3">
      <c r="A532" s="1"/>
      <c r="B532" s="14"/>
      <c r="C532" s="1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2" customHeight="1" x14ac:dyDescent="0.3">
      <c r="A533" s="1"/>
      <c r="B533" s="14"/>
      <c r="C533" s="1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2" customHeight="1" x14ac:dyDescent="0.3">
      <c r="A534" s="1"/>
      <c r="B534" s="14"/>
      <c r="C534" s="1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2" customHeight="1" x14ac:dyDescent="0.3">
      <c r="A535" s="1"/>
      <c r="B535" s="14"/>
      <c r="C535" s="1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2" customHeight="1" x14ac:dyDescent="0.3">
      <c r="A536" s="1"/>
      <c r="B536" s="14"/>
      <c r="C536" s="1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2" customHeight="1" x14ac:dyDescent="0.3">
      <c r="A537" s="1"/>
      <c r="B537" s="14"/>
      <c r="C537" s="1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2" customHeight="1" x14ac:dyDescent="0.3">
      <c r="A538" s="1"/>
      <c r="B538" s="14"/>
      <c r="C538" s="1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2" customHeight="1" x14ac:dyDescent="0.3">
      <c r="A539" s="1"/>
      <c r="B539" s="14"/>
      <c r="C539" s="1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2" customHeight="1" x14ac:dyDescent="0.3">
      <c r="A540" s="1"/>
      <c r="B540" s="14"/>
      <c r="C540" s="1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2" customHeight="1" x14ac:dyDescent="0.3">
      <c r="A541" s="1"/>
      <c r="B541" s="14"/>
      <c r="C541" s="1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2" customHeight="1" x14ac:dyDescent="0.3">
      <c r="A542" s="1"/>
      <c r="B542" s="14"/>
      <c r="C542" s="1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2" customHeight="1" x14ac:dyDescent="0.3">
      <c r="A543" s="1"/>
      <c r="B543" s="14"/>
      <c r="C543" s="1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2" customHeight="1" x14ac:dyDescent="0.3">
      <c r="A544" s="1"/>
      <c r="B544" s="14"/>
      <c r="C544" s="1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2" customHeight="1" x14ac:dyDescent="0.3">
      <c r="A545" s="1"/>
      <c r="B545" s="14"/>
      <c r="C545" s="1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2" customHeight="1" x14ac:dyDescent="0.3">
      <c r="A546" s="1"/>
      <c r="B546" s="14"/>
      <c r="C546" s="1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2" customHeight="1" x14ac:dyDescent="0.3">
      <c r="A547" s="1"/>
      <c r="B547" s="14"/>
      <c r="C547" s="1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2" customHeight="1" x14ac:dyDescent="0.3">
      <c r="A548" s="1"/>
      <c r="B548" s="14"/>
      <c r="C548" s="1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2" customHeight="1" x14ac:dyDescent="0.3">
      <c r="A549" s="1"/>
      <c r="B549" s="14"/>
      <c r="C549" s="1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2" customHeight="1" x14ac:dyDescent="0.3">
      <c r="A550" s="1"/>
      <c r="B550" s="14"/>
      <c r="C550" s="1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2" customHeight="1" x14ac:dyDescent="0.3">
      <c r="A551" s="1"/>
      <c r="B551" s="14"/>
      <c r="C551" s="1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2" customHeight="1" x14ac:dyDescent="0.3">
      <c r="A552" s="1"/>
      <c r="B552" s="14"/>
      <c r="C552" s="1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2" customHeight="1" x14ac:dyDescent="0.3">
      <c r="A553" s="1"/>
      <c r="B553" s="14"/>
      <c r="C553" s="1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2" customHeight="1" x14ac:dyDescent="0.3">
      <c r="A554" s="1"/>
      <c r="B554" s="14"/>
      <c r="C554" s="1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2" customHeight="1" x14ac:dyDescent="0.3">
      <c r="A555" s="1"/>
      <c r="B555" s="14"/>
      <c r="C555" s="1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2" customHeight="1" x14ac:dyDescent="0.3">
      <c r="A556" s="1"/>
      <c r="B556" s="14"/>
      <c r="C556" s="1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2" customHeight="1" x14ac:dyDescent="0.3">
      <c r="A557" s="1"/>
      <c r="B557" s="14"/>
      <c r="C557" s="1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2" customHeight="1" x14ac:dyDescent="0.3">
      <c r="A558" s="1"/>
      <c r="B558" s="14"/>
      <c r="C558" s="1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2" customHeight="1" x14ac:dyDescent="0.3">
      <c r="A559" s="1"/>
      <c r="B559" s="14"/>
      <c r="C559" s="1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2" customHeight="1" x14ac:dyDescent="0.3">
      <c r="A560" s="1"/>
      <c r="B560" s="14"/>
      <c r="C560" s="1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2" customHeight="1" x14ac:dyDescent="0.3">
      <c r="A561" s="1"/>
      <c r="B561" s="14"/>
      <c r="C561" s="1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2" customHeight="1" x14ac:dyDescent="0.3">
      <c r="A562" s="1"/>
      <c r="B562" s="14"/>
      <c r="C562" s="1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2" customHeight="1" x14ac:dyDescent="0.3">
      <c r="A563" s="1"/>
      <c r="B563" s="14"/>
      <c r="C563" s="1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2" customHeight="1" x14ac:dyDescent="0.3">
      <c r="A564" s="1"/>
      <c r="B564" s="14"/>
      <c r="C564" s="1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2" customHeight="1" x14ac:dyDescent="0.3">
      <c r="A565" s="1"/>
      <c r="B565" s="14"/>
      <c r="C565" s="1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2" customHeight="1" x14ac:dyDescent="0.3">
      <c r="A566" s="1"/>
      <c r="B566" s="14"/>
      <c r="C566" s="1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2" customHeight="1" x14ac:dyDescent="0.3">
      <c r="A567" s="1"/>
      <c r="B567" s="14"/>
      <c r="C567" s="1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2" customHeight="1" x14ac:dyDescent="0.3">
      <c r="A568" s="1"/>
      <c r="B568" s="14"/>
      <c r="C568" s="1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2" customHeight="1" x14ac:dyDescent="0.3">
      <c r="A569" s="1"/>
      <c r="B569" s="14"/>
      <c r="C569" s="1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2" customHeight="1" x14ac:dyDescent="0.3">
      <c r="A570" s="1"/>
      <c r="B570" s="14"/>
      <c r="C570" s="1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2" customHeight="1" x14ac:dyDescent="0.3">
      <c r="A571" s="1"/>
      <c r="B571" s="14"/>
      <c r="C571" s="1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2" customHeight="1" x14ac:dyDescent="0.3">
      <c r="A572" s="1"/>
      <c r="B572" s="14"/>
      <c r="C572" s="1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2" customHeight="1" x14ac:dyDescent="0.3">
      <c r="A573" s="1"/>
      <c r="B573" s="14"/>
      <c r="C573" s="1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2" customHeight="1" x14ac:dyDescent="0.3">
      <c r="A574" s="1"/>
      <c r="B574" s="14"/>
      <c r="C574" s="1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2" customHeight="1" x14ac:dyDescent="0.3">
      <c r="A575" s="1"/>
      <c r="B575" s="14"/>
      <c r="C575" s="1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2" customHeight="1" x14ac:dyDescent="0.3">
      <c r="A576" s="1"/>
      <c r="B576" s="14"/>
      <c r="C576" s="1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2" customHeight="1" x14ac:dyDescent="0.3">
      <c r="A577" s="1"/>
      <c r="B577" s="14"/>
      <c r="C577" s="1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2" customHeight="1" x14ac:dyDescent="0.3">
      <c r="A578" s="1"/>
      <c r="B578" s="14"/>
      <c r="C578" s="1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2" customHeight="1" x14ac:dyDescent="0.3">
      <c r="A579" s="1"/>
      <c r="B579" s="14"/>
      <c r="C579" s="1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2" customHeight="1" x14ac:dyDescent="0.3">
      <c r="A580" s="1"/>
      <c r="B580" s="14"/>
      <c r="C580" s="1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2" customHeight="1" x14ac:dyDescent="0.3">
      <c r="A581" s="1"/>
      <c r="B581" s="14"/>
      <c r="C581" s="1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2" customHeight="1" x14ac:dyDescent="0.3">
      <c r="A582" s="1"/>
      <c r="B582" s="14"/>
      <c r="C582" s="1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2" customHeight="1" x14ac:dyDescent="0.3">
      <c r="A583" s="1"/>
      <c r="B583" s="14"/>
      <c r="C583" s="1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2" customHeight="1" x14ac:dyDescent="0.3">
      <c r="A584" s="1"/>
      <c r="B584" s="14"/>
      <c r="C584" s="1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2" customHeight="1" x14ac:dyDescent="0.3">
      <c r="A585" s="1"/>
      <c r="B585" s="14"/>
      <c r="C585" s="1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2" customHeight="1" x14ac:dyDescent="0.3">
      <c r="A586" s="1"/>
      <c r="B586" s="14"/>
      <c r="C586" s="1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2" customHeight="1" x14ac:dyDescent="0.3">
      <c r="A587" s="1"/>
      <c r="B587" s="14"/>
      <c r="C587" s="1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2" customHeight="1" x14ac:dyDescent="0.3">
      <c r="A588" s="1"/>
      <c r="B588" s="14"/>
      <c r="C588" s="1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2" customHeight="1" x14ac:dyDescent="0.3">
      <c r="A589" s="1"/>
      <c r="B589" s="14"/>
      <c r="C589" s="1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2" customHeight="1" x14ac:dyDescent="0.3">
      <c r="A590" s="1"/>
      <c r="B590" s="14"/>
      <c r="C590" s="1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2" customHeight="1" x14ac:dyDescent="0.3">
      <c r="A591" s="1"/>
      <c r="B591" s="14"/>
      <c r="C591" s="1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2" customHeight="1" x14ac:dyDescent="0.3">
      <c r="A592" s="1"/>
      <c r="B592" s="14"/>
      <c r="C592" s="1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2" customHeight="1" x14ac:dyDescent="0.3">
      <c r="A593" s="1"/>
      <c r="B593" s="14"/>
      <c r="C593" s="1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2" customHeight="1" x14ac:dyDescent="0.3">
      <c r="A594" s="1"/>
      <c r="B594" s="14"/>
      <c r="C594" s="1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2" customHeight="1" x14ac:dyDescent="0.3">
      <c r="A595" s="1"/>
      <c r="B595" s="14"/>
      <c r="C595" s="1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2" customHeight="1" x14ac:dyDescent="0.3">
      <c r="A596" s="1"/>
      <c r="B596" s="14"/>
      <c r="C596" s="1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2" customHeight="1" x14ac:dyDescent="0.3">
      <c r="A597" s="1"/>
      <c r="B597" s="14"/>
      <c r="C597" s="1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2" customHeight="1" x14ac:dyDescent="0.3">
      <c r="A598" s="1"/>
      <c r="B598" s="14"/>
      <c r="C598" s="1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2" customHeight="1" x14ac:dyDescent="0.3">
      <c r="A599" s="1"/>
      <c r="B599" s="14"/>
      <c r="C599" s="1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2" customHeight="1" x14ac:dyDescent="0.3">
      <c r="A600" s="1"/>
      <c r="B600" s="14"/>
      <c r="C600" s="1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2" customHeight="1" x14ac:dyDescent="0.3">
      <c r="A601" s="1"/>
      <c r="B601" s="14"/>
      <c r="C601" s="1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2" customHeight="1" x14ac:dyDescent="0.3">
      <c r="A602" s="1"/>
      <c r="B602" s="14"/>
      <c r="C602" s="1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2" customHeight="1" x14ac:dyDescent="0.3">
      <c r="A603" s="1"/>
      <c r="B603" s="14"/>
      <c r="C603" s="1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2" customHeight="1" x14ac:dyDescent="0.3">
      <c r="A604" s="1"/>
      <c r="B604" s="14"/>
      <c r="C604" s="1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2" customHeight="1" x14ac:dyDescent="0.3">
      <c r="A605" s="1"/>
      <c r="B605" s="14"/>
      <c r="C605" s="1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2" customHeight="1" x14ac:dyDescent="0.3">
      <c r="A606" s="1"/>
      <c r="B606" s="14"/>
      <c r="C606" s="1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2" customHeight="1" x14ac:dyDescent="0.3">
      <c r="A607" s="1"/>
      <c r="B607" s="14"/>
      <c r="C607" s="1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2" customHeight="1" x14ac:dyDescent="0.3">
      <c r="A608" s="1"/>
      <c r="B608" s="14"/>
      <c r="C608" s="1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2" customHeight="1" x14ac:dyDescent="0.3">
      <c r="A609" s="1"/>
      <c r="B609" s="14"/>
      <c r="C609" s="1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2" customHeight="1" x14ac:dyDescent="0.3">
      <c r="A610" s="1"/>
      <c r="B610" s="14"/>
      <c r="C610" s="1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2" customHeight="1" x14ac:dyDescent="0.3">
      <c r="A611" s="1"/>
      <c r="B611" s="14"/>
      <c r="C611" s="1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2" customHeight="1" x14ac:dyDescent="0.3">
      <c r="A612" s="1"/>
      <c r="B612" s="14"/>
      <c r="C612" s="1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2" customHeight="1" x14ac:dyDescent="0.3">
      <c r="A613" s="1"/>
      <c r="B613" s="14"/>
      <c r="C613" s="1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2" customHeight="1" x14ac:dyDescent="0.3">
      <c r="A614" s="1"/>
      <c r="B614" s="14"/>
      <c r="C614" s="1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2" customHeight="1" x14ac:dyDescent="0.3">
      <c r="A615" s="1"/>
      <c r="B615" s="14"/>
      <c r="C615" s="1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2" customHeight="1" x14ac:dyDescent="0.3">
      <c r="A616" s="1"/>
      <c r="B616" s="14"/>
      <c r="C616" s="1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2" customHeight="1" x14ac:dyDescent="0.3">
      <c r="A617" s="1"/>
      <c r="B617" s="14"/>
      <c r="C617" s="1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2" customHeight="1" x14ac:dyDescent="0.3">
      <c r="A618" s="1"/>
      <c r="B618" s="14"/>
      <c r="C618" s="1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2" customHeight="1" x14ac:dyDescent="0.3">
      <c r="A619" s="1"/>
      <c r="B619" s="14"/>
      <c r="C619" s="1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2" customHeight="1" x14ac:dyDescent="0.3">
      <c r="A620" s="1"/>
      <c r="B620" s="14"/>
      <c r="C620" s="1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2" customHeight="1" x14ac:dyDescent="0.3">
      <c r="A621" s="1"/>
      <c r="B621" s="14"/>
      <c r="C621" s="1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2" customHeight="1" x14ac:dyDescent="0.3">
      <c r="A622" s="1"/>
      <c r="B622" s="14"/>
      <c r="C622" s="1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2" customHeight="1" x14ac:dyDescent="0.3">
      <c r="A623" s="1"/>
      <c r="B623" s="14"/>
      <c r="C623" s="1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2" customHeight="1" x14ac:dyDescent="0.3">
      <c r="A624" s="1"/>
      <c r="B624" s="14"/>
      <c r="C624" s="1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2" customHeight="1" x14ac:dyDescent="0.3">
      <c r="A625" s="1"/>
      <c r="B625" s="14"/>
      <c r="C625" s="1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2" customHeight="1" x14ac:dyDescent="0.3">
      <c r="A626" s="1"/>
      <c r="B626" s="14"/>
      <c r="C626" s="1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2" customHeight="1" x14ac:dyDescent="0.3">
      <c r="A627" s="1"/>
      <c r="B627" s="14"/>
      <c r="C627" s="1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2" customHeight="1" x14ac:dyDescent="0.3">
      <c r="A628" s="1"/>
      <c r="B628" s="14"/>
      <c r="C628" s="1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2" customHeight="1" x14ac:dyDescent="0.3">
      <c r="A629" s="1"/>
      <c r="B629" s="14"/>
      <c r="C629" s="1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2" customHeight="1" x14ac:dyDescent="0.3">
      <c r="A630" s="1"/>
      <c r="B630" s="14"/>
      <c r="C630" s="1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2" customHeight="1" x14ac:dyDescent="0.3">
      <c r="A631" s="1"/>
      <c r="B631" s="14"/>
      <c r="C631" s="1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2" customHeight="1" x14ac:dyDescent="0.3">
      <c r="A632" s="1"/>
      <c r="B632" s="14"/>
      <c r="C632" s="1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2" customHeight="1" x14ac:dyDescent="0.3">
      <c r="A633" s="1"/>
      <c r="B633" s="14"/>
      <c r="C633" s="1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2" customHeight="1" x14ac:dyDescent="0.3">
      <c r="A634" s="1"/>
      <c r="B634" s="14"/>
      <c r="C634" s="1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2" customHeight="1" x14ac:dyDescent="0.3">
      <c r="A635" s="1"/>
      <c r="B635" s="14"/>
      <c r="C635" s="1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2" customHeight="1" x14ac:dyDescent="0.3">
      <c r="A636" s="1"/>
      <c r="B636" s="14"/>
      <c r="C636" s="1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2" customHeight="1" x14ac:dyDescent="0.3">
      <c r="A637" s="1"/>
      <c r="B637" s="14"/>
      <c r="C637" s="1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2" customHeight="1" x14ac:dyDescent="0.3">
      <c r="A638" s="1"/>
      <c r="B638" s="14"/>
      <c r="C638" s="1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2" customHeight="1" x14ac:dyDescent="0.3">
      <c r="A639" s="1"/>
      <c r="B639" s="14"/>
      <c r="C639" s="1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2" customHeight="1" x14ac:dyDescent="0.3">
      <c r="A640" s="1"/>
      <c r="B640" s="14"/>
      <c r="C640" s="1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2" customHeight="1" x14ac:dyDescent="0.3">
      <c r="A641" s="1"/>
      <c r="B641" s="14"/>
      <c r="C641" s="1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2" customHeight="1" x14ac:dyDescent="0.3">
      <c r="A642" s="1"/>
      <c r="B642" s="14"/>
      <c r="C642" s="1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2" customHeight="1" x14ac:dyDescent="0.3">
      <c r="A643" s="1"/>
      <c r="B643" s="14"/>
      <c r="C643" s="1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2" customHeight="1" x14ac:dyDescent="0.3">
      <c r="A644" s="1"/>
      <c r="B644" s="14"/>
      <c r="C644" s="1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2" customHeight="1" x14ac:dyDescent="0.3">
      <c r="A645" s="1"/>
      <c r="B645" s="14"/>
      <c r="C645" s="1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2" customHeight="1" x14ac:dyDescent="0.3">
      <c r="A646" s="1"/>
      <c r="B646" s="14"/>
      <c r="C646" s="1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2" customHeight="1" x14ac:dyDescent="0.3">
      <c r="A647" s="1"/>
      <c r="B647" s="14"/>
      <c r="C647" s="1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2" customHeight="1" x14ac:dyDescent="0.3">
      <c r="A648" s="1"/>
      <c r="B648" s="14"/>
      <c r="C648" s="1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2" customHeight="1" x14ac:dyDescent="0.3">
      <c r="A649" s="1"/>
      <c r="B649" s="14"/>
      <c r="C649" s="1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2" customHeight="1" x14ac:dyDescent="0.3">
      <c r="A650" s="1"/>
      <c r="B650" s="14"/>
      <c r="C650" s="1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2" customHeight="1" x14ac:dyDescent="0.3">
      <c r="A651" s="1"/>
      <c r="B651" s="14"/>
      <c r="C651" s="1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2" customHeight="1" x14ac:dyDescent="0.3">
      <c r="A652" s="1"/>
      <c r="B652" s="14"/>
      <c r="C652" s="1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2" customHeight="1" x14ac:dyDescent="0.3">
      <c r="A653" s="1"/>
      <c r="B653" s="14"/>
      <c r="C653" s="1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2" customHeight="1" x14ac:dyDescent="0.3">
      <c r="A654" s="1"/>
      <c r="B654" s="14"/>
      <c r="C654" s="1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2" customHeight="1" x14ac:dyDescent="0.3">
      <c r="A655" s="1"/>
      <c r="B655" s="14"/>
      <c r="C655" s="1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2" customHeight="1" x14ac:dyDescent="0.3">
      <c r="A656" s="1"/>
      <c r="B656" s="14"/>
      <c r="C656" s="1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2" customHeight="1" x14ac:dyDescent="0.3">
      <c r="A657" s="1"/>
      <c r="B657" s="14"/>
      <c r="C657" s="1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2" customHeight="1" x14ac:dyDescent="0.3">
      <c r="A658" s="1"/>
      <c r="B658" s="14"/>
      <c r="C658" s="1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2" customHeight="1" x14ac:dyDescent="0.3">
      <c r="A659" s="1"/>
      <c r="B659" s="14"/>
      <c r="C659" s="1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2" customHeight="1" x14ac:dyDescent="0.3">
      <c r="A660" s="1"/>
      <c r="B660" s="14"/>
      <c r="C660" s="1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2" customHeight="1" x14ac:dyDescent="0.3">
      <c r="A661" s="1"/>
      <c r="B661" s="14"/>
      <c r="C661" s="1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2" customHeight="1" x14ac:dyDescent="0.3">
      <c r="A662" s="1"/>
      <c r="B662" s="14"/>
      <c r="C662" s="1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2" customHeight="1" x14ac:dyDescent="0.3">
      <c r="A663" s="1"/>
      <c r="B663" s="14"/>
      <c r="C663" s="1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2" customHeight="1" x14ac:dyDescent="0.3">
      <c r="A664" s="1"/>
      <c r="B664" s="14"/>
      <c r="C664" s="1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2" customHeight="1" x14ac:dyDescent="0.3">
      <c r="A665" s="1"/>
      <c r="B665" s="14"/>
      <c r="C665" s="1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2" customHeight="1" x14ac:dyDescent="0.3">
      <c r="A666" s="1"/>
      <c r="B666" s="14"/>
      <c r="C666" s="1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2" customHeight="1" x14ac:dyDescent="0.3">
      <c r="A667" s="1"/>
      <c r="B667" s="14"/>
      <c r="C667" s="1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2" customHeight="1" x14ac:dyDescent="0.3">
      <c r="A668" s="1"/>
      <c r="B668" s="14"/>
      <c r="C668" s="1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2" customHeight="1" x14ac:dyDescent="0.3">
      <c r="A669" s="1"/>
      <c r="B669" s="14"/>
      <c r="C669" s="1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2" customHeight="1" x14ac:dyDescent="0.3">
      <c r="A670" s="1"/>
      <c r="B670" s="14"/>
      <c r="C670" s="1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2" customHeight="1" x14ac:dyDescent="0.3">
      <c r="A671" s="1"/>
      <c r="B671" s="14"/>
      <c r="C671" s="1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2" customHeight="1" x14ac:dyDescent="0.3">
      <c r="A672" s="1"/>
      <c r="B672" s="14"/>
      <c r="C672" s="1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2" customHeight="1" x14ac:dyDescent="0.3">
      <c r="A673" s="1"/>
      <c r="B673" s="14"/>
      <c r="C673" s="1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2" customHeight="1" x14ac:dyDescent="0.3">
      <c r="A674" s="1"/>
      <c r="B674" s="14"/>
      <c r="C674" s="1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2" customHeight="1" x14ac:dyDescent="0.3">
      <c r="A675" s="1"/>
      <c r="B675" s="14"/>
      <c r="C675" s="1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2" customHeight="1" x14ac:dyDescent="0.3">
      <c r="A676" s="1"/>
      <c r="B676" s="14"/>
      <c r="C676" s="1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2" customHeight="1" x14ac:dyDescent="0.3">
      <c r="A677" s="1"/>
      <c r="B677" s="14"/>
      <c r="C677" s="1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2" customHeight="1" x14ac:dyDescent="0.3">
      <c r="A678" s="1"/>
      <c r="B678" s="14"/>
      <c r="C678" s="1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2" customHeight="1" x14ac:dyDescent="0.3">
      <c r="A679" s="1"/>
      <c r="B679" s="14"/>
      <c r="C679" s="1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2" customHeight="1" x14ac:dyDescent="0.3">
      <c r="A680" s="1"/>
      <c r="B680" s="14"/>
      <c r="C680" s="1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2" customHeight="1" x14ac:dyDescent="0.3">
      <c r="A681" s="1"/>
      <c r="B681" s="14"/>
      <c r="C681" s="1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2" customHeight="1" x14ac:dyDescent="0.3">
      <c r="A682" s="1"/>
      <c r="B682" s="14"/>
      <c r="C682" s="1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2" customHeight="1" x14ac:dyDescent="0.3">
      <c r="A683" s="1"/>
      <c r="B683" s="14"/>
      <c r="C683" s="1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2" customHeight="1" x14ac:dyDescent="0.3">
      <c r="A684" s="1"/>
      <c r="B684" s="14"/>
      <c r="C684" s="1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2" customHeight="1" x14ac:dyDescent="0.3">
      <c r="A685" s="1"/>
      <c r="B685" s="14"/>
      <c r="C685" s="1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2" customHeight="1" x14ac:dyDescent="0.3">
      <c r="A686" s="1"/>
      <c r="B686" s="14"/>
      <c r="C686" s="1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2" customHeight="1" x14ac:dyDescent="0.3">
      <c r="A687" s="1"/>
      <c r="B687" s="14"/>
      <c r="C687" s="1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2" customHeight="1" x14ac:dyDescent="0.3">
      <c r="A688" s="1"/>
      <c r="B688" s="14"/>
      <c r="C688" s="1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2" customHeight="1" x14ac:dyDescent="0.3">
      <c r="A689" s="1"/>
      <c r="B689" s="14"/>
      <c r="C689" s="1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2" customHeight="1" x14ac:dyDescent="0.3">
      <c r="A690" s="1"/>
      <c r="B690" s="14"/>
      <c r="C690" s="1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2" customHeight="1" x14ac:dyDescent="0.3">
      <c r="A691" s="1"/>
      <c r="B691" s="14"/>
      <c r="C691" s="1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2" customHeight="1" x14ac:dyDescent="0.3">
      <c r="A692" s="1"/>
      <c r="B692" s="14"/>
      <c r="C692" s="1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2" customHeight="1" x14ac:dyDescent="0.3">
      <c r="A693" s="1"/>
      <c r="B693" s="14"/>
      <c r="C693" s="1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2" customHeight="1" x14ac:dyDescent="0.3">
      <c r="A694" s="1"/>
      <c r="B694" s="14"/>
      <c r="C694" s="1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2" customHeight="1" x14ac:dyDescent="0.3">
      <c r="A695" s="1"/>
      <c r="B695" s="14"/>
      <c r="C695" s="1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2" customHeight="1" x14ac:dyDescent="0.3">
      <c r="A696" s="1"/>
      <c r="B696" s="14"/>
      <c r="C696" s="1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2" customHeight="1" x14ac:dyDescent="0.3">
      <c r="A697" s="1"/>
      <c r="B697" s="14"/>
      <c r="C697" s="1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2" customHeight="1" x14ac:dyDescent="0.3">
      <c r="A698" s="1"/>
      <c r="B698" s="14"/>
      <c r="C698" s="1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2" customHeight="1" x14ac:dyDescent="0.3">
      <c r="A699" s="1"/>
      <c r="B699" s="14"/>
      <c r="C699" s="1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2" customHeight="1" x14ac:dyDescent="0.3">
      <c r="A700" s="1"/>
      <c r="B700" s="14"/>
      <c r="C700" s="1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2" customHeight="1" x14ac:dyDescent="0.3">
      <c r="A701" s="1"/>
      <c r="B701" s="14"/>
      <c r="C701" s="1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2" customHeight="1" x14ac:dyDescent="0.3">
      <c r="A702" s="1"/>
      <c r="B702" s="14"/>
      <c r="C702" s="1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2" customHeight="1" x14ac:dyDescent="0.3">
      <c r="A703" s="1"/>
      <c r="B703" s="14"/>
      <c r="C703" s="1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2" customHeight="1" x14ac:dyDescent="0.3">
      <c r="A704" s="1"/>
      <c r="B704" s="14"/>
      <c r="C704" s="1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2" customHeight="1" x14ac:dyDescent="0.3">
      <c r="A705" s="1"/>
      <c r="B705" s="14"/>
      <c r="C705" s="1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2" customHeight="1" x14ac:dyDescent="0.3">
      <c r="A706" s="1"/>
      <c r="B706" s="14"/>
      <c r="C706" s="1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2" customHeight="1" x14ac:dyDescent="0.3">
      <c r="A707" s="1"/>
      <c r="B707" s="14"/>
      <c r="C707" s="1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2" customHeight="1" x14ac:dyDescent="0.3">
      <c r="A708" s="1"/>
      <c r="B708" s="14"/>
      <c r="C708" s="1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2" customHeight="1" x14ac:dyDescent="0.3">
      <c r="A709" s="1"/>
      <c r="B709" s="14"/>
      <c r="C709" s="1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2" customHeight="1" x14ac:dyDescent="0.3">
      <c r="A710" s="1"/>
      <c r="B710" s="14"/>
      <c r="C710" s="1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2" customHeight="1" x14ac:dyDescent="0.3">
      <c r="A711" s="1"/>
      <c r="B711" s="14"/>
      <c r="C711" s="1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2" customHeight="1" x14ac:dyDescent="0.3">
      <c r="A712" s="1"/>
      <c r="B712" s="14"/>
      <c r="C712" s="1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2" customHeight="1" x14ac:dyDescent="0.3">
      <c r="A713" s="1"/>
      <c r="B713" s="14"/>
      <c r="C713" s="1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2" customHeight="1" x14ac:dyDescent="0.3">
      <c r="A714" s="1"/>
      <c r="B714" s="14"/>
      <c r="C714" s="1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2" customHeight="1" x14ac:dyDescent="0.3">
      <c r="A715" s="1"/>
      <c r="B715" s="14"/>
      <c r="C715" s="1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2" customHeight="1" x14ac:dyDescent="0.3">
      <c r="A716" s="1"/>
      <c r="B716" s="14"/>
      <c r="C716" s="1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2" customHeight="1" x14ac:dyDescent="0.3">
      <c r="A717" s="1"/>
      <c r="B717" s="14"/>
      <c r="C717" s="1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2" customHeight="1" x14ac:dyDescent="0.3">
      <c r="A718" s="1"/>
      <c r="B718" s="14"/>
      <c r="C718" s="1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2" customHeight="1" x14ac:dyDescent="0.3">
      <c r="A719" s="1"/>
      <c r="B719" s="14"/>
      <c r="C719" s="1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2" customHeight="1" x14ac:dyDescent="0.3">
      <c r="A720" s="1"/>
      <c r="B720" s="14"/>
      <c r="C720" s="1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2" customHeight="1" x14ac:dyDescent="0.3">
      <c r="A721" s="1"/>
      <c r="B721" s="14"/>
      <c r="C721" s="1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2" customHeight="1" x14ac:dyDescent="0.3">
      <c r="A722" s="1"/>
      <c r="B722" s="14"/>
      <c r="C722" s="1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2" customHeight="1" x14ac:dyDescent="0.3">
      <c r="A723" s="1"/>
      <c r="B723" s="14"/>
      <c r="C723" s="1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2" customHeight="1" x14ac:dyDescent="0.3">
      <c r="A724" s="1"/>
      <c r="B724" s="14"/>
      <c r="C724" s="1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2" customHeight="1" x14ac:dyDescent="0.3">
      <c r="A725" s="1"/>
      <c r="B725" s="14"/>
      <c r="C725" s="1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2" customHeight="1" x14ac:dyDescent="0.3">
      <c r="A726" s="1"/>
      <c r="B726" s="14"/>
      <c r="C726" s="1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2" customHeight="1" x14ac:dyDescent="0.3">
      <c r="A727" s="1"/>
      <c r="B727" s="14"/>
      <c r="C727" s="1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2" customHeight="1" x14ac:dyDescent="0.3">
      <c r="A728" s="1"/>
      <c r="B728" s="14"/>
      <c r="C728" s="1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2" customHeight="1" x14ac:dyDescent="0.3">
      <c r="A729" s="1"/>
      <c r="B729" s="14"/>
      <c r="C729" s="1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2" customHeight="1" x14ac:dyDescent="0.3">
      <c r="A730" s="1"/>
      <c r="B730" s="14"/>
      <c r="C730" s="1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2" customHeight="1" x14ac:dyDescent="0.3">
      <c r="A731" s="1"/>
      <c r="B731" s="14"/>
      <c r="C731" s="1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2" customHeight="1" x14ac:dyDescent="0.3">
      <c r="A732" s="1"/>
      <c r="B732" s="14"/>
      <c r="C732" s="1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2" customHeight="1" x14ac:dyDescent="0.3">
      <c r="A733" s="1"/>
      <c r="B733" s="14"/>
      <c r="C733" s="1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2" customHeight="1" x14ac:dyDescent="0.3">
      <c r="A734" s="1"/>
      <c r="B734" s="14"/>
      <c r="C734" s="1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2" customHeight="1" x14ac:dyDescent="0.3">
      <c r="A735" s="1"/>
      <c r="B735" s="14"/>
      <c r="C735" s="1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2" customHeight="1" x14ac:dyDescent="0.3">
      <c r="A736" s="1"/>
      <c r="B736" s="14"/>
      <c r="C736" s="1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2" customHeight="1" x14ac:dyDescent="0.3">
      <c r="A737" s="1"/>
      <c r="B737" s="14"/>
      <c r="C737" s="1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2" customHeight="1" x14ac:dyDescent="0.3">
      <c r="A738" s="1"/>
      <c r="B738" s="14"/>
      <c r="C738" s="1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2" customHeight="1" x14ac:dyDescent="0.3">
      <c r="A739" s="1"/>
      <c r="B739" s="14"/>
      <c r="C739" s="1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2" customHeight="1" x14ac:dyDescent="0.3">
      <c r="A740" s="1"/>
      <c r="B740" s="14"/>
      <c r="C740" s="1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2" customHeight="1" x14ac:dyDescent="0.3">
      <c r="A741" s="1"/>
      <c r="B741" s="14"/>
      <c r="C741" s="1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2" customHeight="1" x14ac:dyDescent="0.3">
      <c r="A742" s="1"/>
      <c r="B742" s="14"/>
      <c r="C742" s="1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2" customHeight="1" x14ac:dyDescent="0.3">
      <c r="A743" s="1"/>
      <c r="B743" s="14"/>
      <c r="C743" s="1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2" customHeight="1" x14ac:dyDescent="0.3">
      <c r="A744" s="1"/>
      <c r="B744" s="14"/>
      <c r="C744" s="1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2" customHeight="1" x14ac:dyDescent="0.3">
      <c r="A745" s="1"/>
      <c r="B745" s="14"/>
      <c r="C745" s="1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2" customHeight="1" x14ac:dyDescent="0.3">
      <c r="A746" s="1"/>
      <c r="B746" s="14"/>
      <c r="C746" s="1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2" customHeight="1" x14ac:dyDescent="0.3">
      <c r="A747" s="1"/>
      <c r="B747" s="14"/>
      <c r="C747" s="1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2" customHeight="1" x14ac:dyDescent="0.3">
      <c r="A748" s="1"/>
      <c r="B748" s="14"/>
      <c r="C748" s="1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2" customHeight="1" x14ac:dyDescent="0.3">
      <c r="A749" s="1"/>
      <c r="B749" s="14"/>
      <c r="C749" s="1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2" customHeight="1" x14ac:dyDescent="0.3">
      <c r="A750" s="1"/>
      <c r="B750" s="14"/>
      <c r="C750" s="1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2" customHeight="1" x14ac:dyDescent="0.3">
      <c r="A751" s="1"/>
      <c r="B751" s="14"/>
      <c r="C751" s="1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2" customHeight="1" x14ac:dyDescent="0.3">
      <c r="A752" s="1"/>
      <c r="B752" s="14"/>
      <c r="C752" s="1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2" customHeight="1" x14ac:dyDescent="0.3">
      <c r="A753" s="1"/>
      <c r="B753" s="14"/>
      <c r="C753" s="1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2" customHeight="1" x14ac:dyDescent="0.3">
      <c r="A754" s="1"/>
      <c r="B754" s="14"/>
      <c r="C754" s="1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2" customHeight="1" x14ac:dyDescent="0.3">
      <c r="A755" s="1"/>
      <c r="B755" s="14"/>
      <c r="C755" s="1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2" customHeight="1" x14ac:dyDescent="0.3">
      <c r="A756" s="1"/>
      <c r="B756" s="14"/>
      <c r="C756" s="1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2" customHeight="1" x14ac:dyDescent="0.3">
      <c r="A757" s="1"/>
      <c r="B757" s="14"/>
      <c r="C757" s="1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2" customHeight="1" x14ac:dyDescent="0.3">
      <c r="A758" s="1"/>
      <c r="B758" s="14"/>
      <c r="C758" s="1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2" customHeight="1" x14ac:dyDescent="0.3">
      <c r="A759" s="1"/>
      <c r="B759" s="14"/>
      <c r="C759" s="1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2" customHeight="1" x14ac:dyDescent="0.3">
      <c r="A760" s="1"/>
      <c r="B760" s="14"/>
      <c r="C760" s="1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2" customHeight="1" x14ac:dyDescent="0.3">
      <c r="A761" s="1"/>
      <c r="B761" s="14"/>
      <c r="C761" s="1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2" customHeight="1" x14ac:dyDescent="0.3">
      <c r="A762" s="1"/>
      <c r="B762" s="14"/>
      <c r="C762" s="1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2" customHeight="1" x14ac:dyDescent="0.3">
      <c r="A763" s="1"/>
      <c r="B763" s="14"/>
      <c r="C763" s="1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2" customHeight="1" x14ac:dyDescent="0.3">
      <c r="A764" s="1"/>
      <c r="B764" s="14"/>
      <c r="C764" s="1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2" customHeight="1" x14ac:dyDescent="0.3">
      <c r="A765" s="1"/>
      <c r="B765" s="14"/>
      <c r="C765" s="1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2" customHeight="1" x14ac:dyDescent="0.3">
      <c r="A766" s="1"/>
      <c r="B766" s="14"/>
      <c r="C766" s="1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2" customHeight="1" x14ac:dyDescent="0.3">
      <c r="A767" s="1"/>
      <c r="B767" s="14"/>
      <c r="C767" s="1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2" customHeight="1" x14ac:dyDescent="0.3">
      <c r="A768" s="1"/>
      <c r="B768" s="14"/>
      <c r="C768" s="1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2" customHeight="1" x14ac:dyDescent="0.3">
      <c r="A769" s="1"/>
      <c r="B769" s="14"/>
      <c r="C769" s="1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2" customHeight="1" x14ac:dyDescent="0.3">
      <c r="A770" s="1"/>
      <c r="B770" s="14"/>
      <c r="C770" s="1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2" customHeight="1" x14ac:dyDescent="0.3">
      <c r="A771" s="1"/>
      <c r="B771" s="14"/>
      <c r="C771" s="1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2" customHeight="1" x14ac:dyDescent="0.3">
      <c r="A772" s="1"/>
      <c r="B772" s="14"/>
      <c r="C772" s="1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2" customHeight="1" x14ac:dyDescent="0.3">
      <c r="A773" s="1"/>
      <c r="B773" s="14"/>
      <c r="C773" s="1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2" customHeight="1" x14ac:dyDescent="0.3">
      <c r="A774" s="1"/>
      <c r="B774" s="14"/>
      <c r="C774" s="1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2" customHeight="1" x14ac:dyDescent="0.3">
      <c r="A775" s="1"/>
      <c r="B775" s="14"/>
      <c r="C775" s="1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2" customHeight="1" x14ac:dyDescent="0.3">
      <c r="A776" s="1"/>
      <c r="B776" s="14"/>
      <c r="C776" s="1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2" customHeight="1" x14ac:dyDescent="0.3">
      <c r="A777" s="1"/>
      <c r="B777" s="14"/>
      <c r="C777" s="1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2" customHeight="1" x14ac:dyDescent="0.3">
      <c r="A778" s="1"/>
      <c r="B778" s="14"/>
      <c r="C778" s="1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2" customHeight="1" x14ac:dyDescent="0.3">
      <c r="A779" s="1"/>
      <c r="B779" s="14"/>
      <c r="C779" s="1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2" customHeight="1" x14ac:dyDescent="0.3">
      <c r="A780" s="1"/>
      <c r="B780" s="14"/>
      <c r="C780" s="1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2" customHeight="1" x14ac:dyDescent="0.3">
      <c r="A781" s="1"/>
      <c r="B781" s="14"/>
      <c r="C781" s="1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2" customHeight="1" x14ac:dyDescent="0.3">
      <c r="A782" s="1"/>
      <c r="B782" s="14"/>
      <c r="C782" s="1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2" customHeight="1" x14ac:dyDescent="0.3">
      <c r="A783" s="1"/>
      <c r="B783" s="14"/>
      <c r="C783" s="1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2" customHeight="1" x14ac:dyDescent="0.3">
      <c r="A784" s="1"/>
      <c r="B784" s="14"/>
      <c r="C784" s="1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2" customHeight="1" x14ac:dyDescent="0.3">
      <c r="A785" s="1"/>
      <c r="B785" s="14"/>
      <c r="C785" s="1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2" customHeight="1" x14ac:dyDescent="0.3">
      <c r="A786" s="1"/>
      <c r="B786" s="14"/>
      <c r="C786" s="1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2" customHeight="1" x14ac:dyDescent="0.3">
      <c r="A787" s="1"/>
      <c r="B787" s="14"/>
      <c r="C787" s="1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2" customHeight="1" x14ac:dyDescent="0.3">
      <c r="A788" s="1"/>
      <c r="B788" s="14"/>
      <c r="C788" s="1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2" customHeight="1" x14ac:dyDescent="0.3">
      <c r="A789" s="1"/>
      <c r="B789" s="14"/>
      <c r="C789" s="1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2" customHeight="1" x14ac:dyDescent="0.3">
      <c r="A790" s="1"/>
      <c r="B790" s="14"/>
      <c r="C790" s="1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2" customHeight="1" x14ac:dyDescent="0.3">
      <c r="A791" s="1"/>
      <c r="B791" s="14"/>
      <c r="C791" s="1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2" customHeight="1" x14ac:dyDescent="0.3">
      <c r="A792" s="1"/>
      <c r="B792" s="14"/>
      <c r="C792" s="1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2" customHeight="1" x14ac:dyDescent="0.3">
      <c r="A793" s="1"/>
      <c r="B793" s="14"/>
      <c r="C793" s="1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2" customHeight="1" x14ac:dyDescent="0.3">
      <c r="A794" s="1"/>
      <c r="B794" s="14"/>
      <c r="C794" s="1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2" customHeight="1" x14ac:dyDescent="0.3">
      <c r="A795" s="1"/>
      <c r="B795" s="14"/>
      <c r="C795" s="1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2" customHeight="1" x14ac:dyDescent="0.3">
      <c r="A796" s="1"/>
      <c r="B796" s="14"/>
      <c r="C796" s="1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2" customHeight="1" x14ac:dyDescent="0.3">
      <c r="A797" s="1"/>
      <c r="B797" s="14"/>
      <c r="C797" s="1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2" customHeight="1" x14ac:dyDescent="0.3">
      <c r="A798" s="1"/>
      <c r="B798" s="14"/>
      <c r="C798" s="1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2" customHeight="1" x14ac:dyDescent="0.3">
      <c r="A799" s="1"/>
      <c r="B799" s="14"/>
      <c r="C799" s="1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2" customHeight="1" x14ac:dyDescent="0.3">
      <c r="A800" s="1"/>
      <c r="B800" s="14"/>
      <c r="C800" s="1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2" customHeight="1" x14ac:dyDescent="0.3">
      <c r="A801" s="1"/>
      <c r="B801" s="14"/>
      <c r="C801" s="1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2" customHeight="1" x14ac:dyDescent="0.3">
      <c r="A802" s="1"/>
      <c r="B802" s="14"/>
      <c r="C802" s="1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2" customHeight="1" x14ac:dyDescent="0.3">
      <c r="A803" s="1"/>
      <c r="B803" s="14"/>
      <c r="C803" s="1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2" customHeight="1" x14ac:dyDescent="0.3">
      <c r="A804" s="1"/>
      <c r="B804" s="14"/>
      <c r="C804" s="1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2" customHeight="1" x14ac:dyDescent="0.3">
      <c r="A805" s="1"/>
      <c r="B805" s="14"/>
      <c r="C805" s="1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2" customHeight="1" x14ac:dyDescent="0.3">
      <c r="A806" s="1"/>
      <c r="B806" s="14"/>
      <c r="C806" s="1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2" customHeight="1" x14ac:dyDescent="0.3">
      <c r="A807" s="1"/>
      <c r="B807" s="14"/>
      <c r="C807" s="1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2" customHeight="1" x14ac:dyDescent="0.3">
      <c r="A808" s="1"/>
      <c r="B808" s="14"/>
      <c r="C808" s="1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2" customHeight="1" x14ac:dyDescent="0.3">
      <c r="A809" s="1"/>
      <c r="B809" s="14"/>
      <c r="C809" s="1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2" customHeight="1" x14ac:dyDescent="0.3">
      <c r="A810" s="1"/>
      <c r="B810" s="14"/>
      <c r="C810" s="1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2" customHeight="1" x14ac:dyDescent="0.3">
      <c r="A811" s="1"/>
      <c r="B811" s="14"/>
      <c r="C811" s="1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2" customHeight="1" x14ac:dyDescent="0.3">
      <c r="A812" s="1"/>
      <c r="B812" s="14"/>
      <c r="C812" s="1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2" customHeight="1" x14ac:dyDescent="0.3">
      <c r="A813" s="1"/>
      <c r="B813" s="14"/>
      <c r="C813" s="1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2" customHeight="1" x14ac:dyDescent="0.3">
      <c r="A814" s="1"/>
      <c r="B814" s="14"/>
      <c r="C814" s="1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2" customHeight="1" x14ac:dyDescent="0.3">
      <c r="A815" s="1"/>
      <c r="B815" s="14"/>
      <c r="C815" s="1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2" customHeight="1" x14ac:dyDescent="0.3">
      <c r="A816" s="1"/>
      <c r="B816" s="14"/>
      <c r="C816" s="1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2" customHeight="1" x14ac:dyDescent="0.3">
      <c r="A817" s="1"/>
      <c r="B817" s="14"/>
      <c r="C817" s="1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2" customHeight="1" x14ac:dyDescent="0.3">
      <c r="A818" s="1"/>
      <c r="B818" s="14"/>
      <c r="C818" s="1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2" customHeight="1" x14ac:dyDescent="0.3">
      <c r="A819" s="1"/>
      <c r="B819" s="14"/>
      <c r="C819" s="1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2" customHeight="1" x14ac:dyDescent="0.3">
      <c r="A820" s="1"/>
      <c r="B820" s="14"/>
      <c r="C820" s="1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2" customHeight="1" x14ac:dyDescent="0.3">
      <c r="A821" s="1"/>
      <c r="B821" s="14"/>
      <c r="C821" s="1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2" customHeight="1" x14ac:dyDescent="0.3">
      <c r="A822" s="1"/>
      <c r="B822" s="14"/>
      <c r="C822" s="1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2" customHeight="1" x14ac:dyDescent="0.3">
      <c r="A823" s="1"/>
      <c r="B823" s="14"/>
      <c r="C823" s="1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2" customHeight="1" x14ac:dyDescent="0.3">
      <c r="A824" s="1"/>
      <c r="B824" s="14"/>
      <c r="C824" s="1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2" customHeight="1" x14ac:dyDescent="0.3">
      <c r="A825" s="1"/>
      <c r="B825" s="14"/>
      <c r="C825" s="1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2" customHeight="1" x14ac:dyDescent="0.3">
      <c r="A826" s="1"/>
      <c r="B826" s="14"/>
      <c r="C826" s="1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2" customHeight="1" x14ac:dyDescent="0.3">
      <c r="A827" s="1"/>
      <c r="B827" s="14"/>
      <c r="C827" s="1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2" customHeight="1" x14ac:dyDescent="0.3">
      <c r="A828" s="1"/>
      <c r="B828" s="14"/>
      <c r="C828" s="1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2" customHeight="1" x14ac:dyDescent="0.3">
      <c r="A829" s="1"/>
      <c r="B829" s="14"/>
      <c r="C829" s="1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2" customHeight="1" x14ac:dyDescent="0.3">
      <c r="A830" s="1"/>
      <c r="B830" s="14"/>
      <c r="C830" s="1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2" customHeight="1" x14ac:dyDescent="0.3">
      <c r="A831" s="1"/>
      <c r="B831" s="14"/>
      <c r="C831" s="1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2" customHeight="1" x14ac:dyDescent="0.3">
      <c r="A832" s="1"/>
      <c r="B832" s="14"/>
      <c r="C832" s="1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2" customHeight="1" x14ac:dyDescent="0.3">
      <c r="A833" s="1"/>
      <c r="B833" s="14"/>
      <c r="C833" s="1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2" customHeight="1" x14ac:dyDescent="0.3">
      <c r="A834" s="1"/>
      <c r="B834" s="14"/>
      <c r="C834" s="1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2" customHeight="1" x14ac:dyDescent="0.3">
      <c r="A835" s="1"/>
      <c r="B835" s="14"/>
      <c r="C835" s="1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2" customHeight="1" x14ac:dyDescent="0.3">
      <c r="A836" s="1"/>
      <c r="B836" s="14"/>
      <c r="C836" s="1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2" customHeight="1" x14ac:dyDescent="0.3">
      <c r="A837" s="1"/>
      <c r="B837" s="14"/>
      <c r="C837" s="1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2" customHeight="1" x14ac:dyDescent="0.3">
      <c r="A838" s="1"/>
      <c r="B838" s="14"/>
      <c r="C838" s="1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2" customHeight="1" x14ac:dyDescent="0.3">
      <c r="A839" s="1"/>
      <c r="B839" s="14"/>
      <c r="C839" s="1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2" customHeight="1" x14ac:dyDescent="0.3">
      <c r="A840" s="1"/>
      <c r="B840" s="14"/>
      <c r="C840" s="1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2" customHeight="1" x14ac:dyDescent="0.3">
      <c r="A841" s="1"/>
      <c r="B841" s="14"/>
      <c r="C841" s="1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2" customHeight="1" x14ac:dyDescent="0.3">
      <c r="A842" s="1"/>
      <c r="B842" s="14"/>
      <c r="C842" s="1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2" customHeight="1" x14ac:dyDescent="0.3">
      <c r="A843" s="1"/>
      <c r="B843" s="14"/>
      <c r="C843" s="1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2" customHeight="1" x14ac:dyDescent="0.3">
      <c r="A844" s="1"/>
      <c r="B844" s="14"/>
      <c r="C844" s="1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2" customHeight="1" x14ac:dyDescent="0.3">
      <c r="A845" s="1"/>
      <c r="B845" s="14"/>
      <c r="C845" s="1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2" customHeight="1" x14ac:dyDescent="0.3">
      <c r="A846" s="1"/>
      <c r="B846" s="14"/>
      <c r="C846" s="1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2" customHeight="1" x14ac:dyDescent="0.3">
      <c r="A847" s="1"/>
      <c r="B847" s="14"/>
      <c r="C847" s="1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2" customHeight="1" x14ac:dyDescent="0.3">
      <c r="A848" s="1"/>
      <c r="B848" s="14"/>
      <c r="C848" s="1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2" customHeight="1" x14ac:dyDescent="0.3">
      <c r="A849" s="1"/>
      <c r="B849" s="14"/>
      <c r="C849" s="1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2" customHeight="1" x14ac:dyDescent="0.3">
      <c r="A850" s="1"/>
      <c r="B850" s="14"/>
      <c r="C850" s="1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2" customHeight="1" x14ac:dyDescent="0.3">
      <c r="A851" s="1"/>
      <c r="B851" s="14"/>
      <c r="C851" s="1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2" customHeight="1" x14ac:dyDescent="0.3">
      <c r="A852" s="1"/>
      <c r="B852" s="14"/>
      <c r="C852" s="1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2" customHeight="1" x14ac:dyDescent="0.3">
      <c r="A853" s="1"/>
      <c r="B853" s="14"/>
      <c r="C853" s="1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2" customHeight="1" x14ac:dyDescent="0.3">
      <c r="A854" s="1"/>
      <c r="B854" s="14"/>
      <c r="C854" s="1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2" customHeight="1" x14ac:dyDescent="0.3">
      <c r="A855" s="1"/>
      <c r="B855" s="14"/>
      <c r="C855" s="1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2" customHeight="1" x14ac:dyDescent="0.3">
      <c r="A856" s="1"/>
      <c r="B856" s="14"/>
      <c r="C856" s="1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2" customHeight="1" x14ac:dyDescent="0.3">
      <c r="A857" s="1"/>
      <c r="B857" s="14"/>
      <c r="C857" s="1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2" customHeight="1" x14ac:dyDescent="0.3">
      <c r="A858" s="1"/>
      <c r="B858" s="14"/>
      <c r="C858" s="1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2" customHeight="1" x14ac:dyDescent="0.3">
      <c r="A859" s="1"/>
      <c r="B859" s="14"/>
      <c r="C859" s="1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2" customHeight="1" x14ac:dyDescent="0.3">
      <c r="A860" s="1"/>
      <c r="B860" s="14"/>
      <c r="C860" s="1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2" customHeight="1" x14ac:dyDescent="0.3">
      <c r="A861" s="1"/>
      <c r="B861" s="14"/>
      <c r="C861" s="1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2" customHeight="1" x14ac:dyDescent="0.3">
      <c r="A862" s="1"/>
      <c r="B862" s="14"/>
      <c r="C862" s="1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2" customHeight="1" x14ac:dyDescent="0.3">
      <c r="A863" s="1"/>
      <c r="B863" s="14"/>
      <c r="C863" s="1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2" customHeight="1" x14ac:dyDescent="0.3">
      <c r="A864" s="1"/>
      <c r="B864" s="14"/>
      <c r="C864" s="1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2" customHeight="1" x14ac:dyDescent="0.3">
      <c r="A865" s="1"/>
      <c r="B865" s="14"/>
      <c r="C865" s="1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2" customHeight="1" x14ac:dyDescent="0.3">
      <c r="A866" s="1"/>
      <c r="B866" s="14"/>
      <c r="C866" s="1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2" customHeight="1" x14ac:dyDescent="0.3">
      <c r="A867" s="1"/>
      <c r="B867" s="14"/>
      <c r="C867" s="1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2" customHeight="1" x14ac:dyDescent="0.3">
      <c r="A868" s="1"/>
      <c r="B868" s="14"/>
      <c r="C868" s="1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2" customHeight="1" x14ac:dyDescent="0.3">
      <c r="A869" s="1"/>
      <c r="B869" s="14"/>
      <c r="C869" s="1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2" customHeight="1" x14ac:dyDescent="0.3">
      <c r="A870" s="1"/>
      <c r="B870" s="14"/>
      <c r="C870" s="1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2" customHeight="1" x14ac:dyDescent="0.3">
      <c r="A871" s="1"/>
      <c r="B871" s="14"/>
      <c r="C871" s="1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2" customHeight="1" x14ac:dyDescent="0.3">
      <c r="A872" s="1"/>
      <c r="B872" s="14"/>
      <c r="C872" s="1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2" customHeight="1" x14ac:dyDescent="0.3">
      <c r="A873" s="1"/>
      <c r="B873" s="14"/>
      <c r="C873" s="1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2" customHeight="1" x14ac:dyDescent="0.3">
      <c r="A874" s="1"/>
      <c r="B874" s="14"/>
      <c r="C874" s="1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2" customHeight="1" x14ac:dyDescent="0.3">
      <c r="A875" s="1"/>
      <c r="B875" s="14"/>
      <c r="C875" s="1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2" customHeight="1" x14ac:dyDescent="0.3">
      <c r="A876" s="1"/>
      <c r="B876" s="14"/>
      <c r="C876" s="1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2" customHeight="1" x14ac:dyDescent="0.3">
      <c r="A877" s="1"/>
      <c r="B877" s="14"/>
      <c r="C877" s="1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2" customHeight="1" x14ac:dyDescent="0.3">
      <c r="A878" s="1"/>
      <c r="B878" s="14"/>
      <c r="C878" s="1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2" customHeight="1" x14ac:dyDescent="0.3">
      <c r="A879" s="1"/>
      <c r="B879" s="14"/>
      <c r="C879" s="1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2" customHeight="1" x14ac:dyDescent="0.3">
      <c r="A880" s="1"/>
      <c r="B880" s="14"/>
      <c r="C880" s="1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2" customHeight="1" x14ac:dyDescent="0.3">
      <c r="A881" s="1"/>
      <c r="B881" s="14"/>
      <c r="C881" s="1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2" customHeight="1" x14ac:dyDescent="0.3">
      <c r="A882" s="1"/>
      <c r="B882" s="14"/>
      <c r="C882" s="1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2" customHeight="1" x14ac:dyDescent="0.3">
      <c r="A883" s="1"/>
      <c r="B883" s="14"/>
      <c r="C883" s="1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2" customHeight="1" x14ac:dyDescent="0.3">
      <c r="A884" s="1"/>
      <c r="B884" s="14"/>
      <c r="C884" s="1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2" customHeight="1" x14ac:dyDescent="0.3">
      <c r="A885" s="1"/>
      <c r="B885" s="14"/>
      <c r="C885" s="1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2" customHeight="1" x14ac:dyDescent="0.3">
      <c r="A886" s="1"/>
      <c r="B886" s="14"/>
      <c r="C886" s="1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2" customHeight="1" x14ac:dyDescent="0.3">
      <c r="A887" s="1"/>
      <c r="B887" s="14"/>
      <c r="C887" s="1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2" customHeight="1" x14ac:dyDescent="0.3">
      <c r="A888" s="1"/>
      <c r="B888" s="14"/>
      <c r="C888" s="1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2" customHeight="1" x14ac:dyDescent="0.3">
      <c r="A889" s="1"/>
      <c r="B889" s="14"/>
      <c r="C889" s="1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2" customHeight="1" x14ac:dyDescent="0.3">
      <c r="A890" s="1"/>
      <c r="B890" s="14"/>
      <c r="C890" s="1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2" customHeight="1" x14ac:dyDescent="0.3">
      <c r="A891" s="1"/>
      <c r="B891" s="14"/>
      <c r="C891" s="1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2" customHeight="1" x14ac:dyDescent="0.3">
      <c r="A892" s="1"/>
      <c r="B892" s="14"/>
      <c r="C892" s="1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2" customHeight="1" x14ac:dyDescent="0.3">
      <c r="A893" s="1"/>
      <c r="B893" s="14"/>
      <c r="C893" s="1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2" customHeight="1" x14ac:dyDescent="0.3">
      <c r="A894" s="1"/>
      <c r="B894" s="14"/>
      <c r="C894" s="1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2" customHeight="1" x14ac:dyDescent="0.3">
      <c r="A895" s="1"/>
      <c r="B895" s="14"/>
      <c r="C895" s="1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2" customHeight="1" x14ac:dyDescent="0.3">
      <c r="A896" s="1"/>
      <c r="B896" s="14"/>
      <c r="C896" s="1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2" customHeight="1" x14ac:dyDescent="0.3">
      <c r="A897" s="1"/>
      <c r="B897" s="14"/>
      <c r="C897" s="1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2" customHeight="1" x14ac:dyDescent="0.3">
      <c r="A898" s="1"/>
      <c r="B898" s="14"/>
      <c r="C898" s="1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2" customHeight="1" x14ac:dyDescent="0.3">
      <c r="A899" s="1"/>
      <c r="B899" s="14"/>
      <c r="C899" s="1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2" customHeight="1" x14ac:dyDescent="0.3">
      <c r="A900" s="1"/>
      <c r="B900" s="14"/>
      <c r="C900" s="1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2" customHeight="1" x14ac:dyDescent="0.3">
      <c r="A901" s="1"/>
      <c r="B901" s="14"/>
      <c r="C901" s="1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2" customHeight="1" x14ac:dyDescent="0.3">
      <c r="A902" s="1"/>
      <c r="B902" s="14"/>
      <c r="C902" s="1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2" customHeight="1" x14ac:dyDescent="0.3">
      <c r="A903" s="1"/>
      <c r="B903" s="14"/>
      <c r="C903" s="1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2" customHeight="1" x14ac:dyDescent="0.3">
      <c r="A904" s="1"/>
      <c r="B904" s="14"/>
      <c r="C904" s="1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2" customHeight="1" x14ac:dyDescent="0.3">
      <c r="A905" s="1"/>
      <c r="B905" s="14"/>
      <c r="C905" s="1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2" customHeight="1" x14ac:dyDescent="0.3">
      <c r="A906" s="1"/>
      <c r="B906" s="14"/>
      <c r="C906" s="1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2" customHeight="1" x14ac:dyDescent="0.3">
      <c r="A907" s="1"/>
      <c r="B907" s="14"/>
      <c r="C907" s="1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2" customHeight="1" x14ac:dyDescent="0.3">
      <c r="A908" s="1"/>
      <c r="B908" s="14"/>
      <c r="C908" s="1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2" customHeight="1" x14ac:dyDescent="0.3">
      <c r="A909" s="1"/>
      <c r="B909" s="14"/>
      <c r="C909" s="1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2" customHeight="1" x14ac:dyDescent="0.3">
      <c r="A910" s="1"/>
      <c r="B910" s="14"/>
      <c r="C910" s="1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2" customHeight="1" x14ac:dyDescent="0.3">
      <c r="A911" s="1"/>
      <c r="B911" s="14"/>
      <c r="C911" s="1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2" customHeight="1" x14ac:dyDescent="0.3">
      <c r="A912" s="1"/>
      <c r="B912" s="14"/>
      <c r="C912" s="1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2" customHeight="1" x14ac:dyDescent="0.3">
      <c r="A913" s="1"/>
      <c r="B913" s="14"/>
      <c r="C913" s="1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2" customHeight="1" x14ac:dyDescent="0.3">
      <c r="A914" s="1"/>
      <c r="B914" s="14"/>
      <c r="C914" s="1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2" customHeight="1" x14ac:dyDescent="0.3">
      <c r="A915" s="1"/>
      <c r="B915" s="14"/>
      <c r="C915" s="1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2" customHeight="1" x14ac:dyDescent="0.3">
      <c r="A916" s="1"/>
      <c r="B916" s="14"/>
      <c r="C916" s="1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2" customHeight="1" x14ac:dyDescent="0.3">
      <c r="A917" s="1"/>
      <c r="B917" s="14"/>
      <c r="C917" s="1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2" customHeight="1" x14ac:dyDescent="0.3">
      <c r="A918" s="1"/>
      <c r="B918" s="14"/>
      <c r="C918" s="1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2" customHeight="1" x14ac:dyDescent="0.3">
      <c r="A919" s="1"/>
      <c r="B919" s="14"/>
      <c r="C919" s="1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2" customHeight="1" x14ac:dyDescent="0.3">
      <c r="A920" s="1"/>
      <c r="B920" s="14"/>
      <c r="C920" s="1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2" customHeight="1" x14ac:dyDescent="0.3">
      <c r="A921" s="1"/>
      <c r="B921" s="14"/>
      <c r="C921" s="1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2" customHeight="1" x14ac:dyDescent="0.3">
      <c r="A922" s="1"/>
      <c r="B922" s="14"/>
      <c r="C922" s="1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2" customHeight="1" x14ac:dyDescent="0.3">
      <c r="A923" s="1"/>
      <c r="B923" s="14"/>
      <c r="C923" s="1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2" customHeight="1" x14ac:dyDescent="0.3">
      <c r="A924" s="1"/>
      <c r="B924" s="14"/>
      <c r="C924" s="1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2" customHeight="1" x14ac:dyDescent="0.3">
      <c r="A925" s="1"/>
      <c r="B925" s="14"/>
      <c r="C925" s="1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2" customHeight="1" x14ac:dyDescent="0.3">
      <c r="A926" s="1"/>
      <c r="B926" s="14"/>
      <c r="C926" s="1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2" customHeight="1" x14ac:dyDescent="0.3">
      <c r="A927" s="1"/>
      <c r="B927" s="14"/>
      <c r="C927" s="1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2" customHeight="1" x14ac:dyDescent="0.3">
      <c r="A928" s="1"/>
      <c r="B928" s="14"/>
      <c r="C928" s="1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2" customHeight="1" x14ac:dyDescent="0.3">
      <c r="A929" s="1"/>
      <c r="B929" s="14"/>
      <c r="C929" s="1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2" customHeight="1" x14ac:dyDescent="0.3">
      <c r="A930" s="1"/>
      <c r="B930" s="14"/>
      <c r="C930" s="1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2" customHeight="1" x14ac:dyDescent="0.3">
      <c r="A931" s="1"/>
      <c r="B931" s="14"/>
      <c r="C931" s="1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2" customHeight="1" x14ac:dyDescent="0.3">
      <c r="A932" s="1"/>
      <c r="B932" s="14"/>
      <c r="C932" s="1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2" customHeight="1" x14ac:dyDescent="0.3">
      <c r="A933" s="1"/>
      <c r="B933" s="14"/>
      <c r="C933" s="1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2" customHeight="1" x14ac:dyDescent="0.3">
      <c r="A934" s="1"/>
      <c r="B934" s="14"/>
      <c r="C934" s="1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2" customHeight="1" x14ac:dyDescent="0.3">
      <c r="A935" s="1"/>
      <c r="B935" s="14"/>
      <c r="C935" s="1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2" customHeight="1" x14ac:dyDescent="0.3">
      <c r="A936" s="1"/>
      <c r="B936" s="14"/>
      <c r="C936" s="1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2" customHeight="1" x14ac:dyDescent="0.3">
      <c r="A937" s="1"/>
      <c r="B937" s="14"/>
      <c r="C937" s="1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2" customHeight="1" x14ac:dyDescent="0.3">
      <c r="A938" s="1"/>
      <c r="B938" s="14"/>
      <c r="C938" s="1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2" customHeight="1" x14ac:dyDescent="0.3">
      <c r="A939" s="1"/>
      <c r="B939" s="14"/>
      <c r="C939" s="1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2" customHeight="1" x14ac:dyDescent="0.3">
      <c r="A940" s="1"/>
      <c r="B940" s="14"/>
      <c r="C940" s="1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2" customHeight="1" x14ac:dyDescent="0.3">
      <c r="A941" s="1"/>
      <c r="B941" s="14"/>
      <c r="C941" s="1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2" customHeight="1" x14ac:dyDescent="0.3">
      <c r="A942" s="1"/>
      <c r="B942" s="14"/>
      <c r="C942" s="1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2" customHeight="1" x14ac:dyDescent="0.3">
      <c r="A943" s="1"/>
      <c r="B943" s="14"/>
      <c r="C943" s="1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2" customHeight="1" x14ac:dyDescent="0.3">
      <c r="A944" s="1"/>
      <c r="B944" s="14"/>
      <c r="C944" s="1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2" customHeight="1" x14ac:dyDescent="0.3">
      <c r="A945" s="1"/>
      <c r="B945" s="14"/>
      <c r="C945" s="1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2" customHeight="1" x14ac:dyDescent="0.3">
      <c r="A946" s="1"/>
      <c r="B946" s="14"/>
      <c r="C946" s="1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2" customHeight="1" x14ac:dyDescent="0.3">
      <c r="A947" s="1"/>
      <c r="B947" s="14"/>
      <c r="C947" s="1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2" customHeight="1" x14ac:dyDescent="0.3">
      <c r="A948" s="1"/>
      <c r="B948" s="14"/>
      <c r="C948" s="1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2" customHeight="1" x14ac:dyDescent="0.3">
      <c r="A949" s="1"/>
      <c r="B949" s="14"/>
      <c r="C949" s="1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2" customHeight="1" x14ac:dyDescent="0.3">
      <c r="A950" s="1"/>
      <c r="B950" s="14"/>
      <c r="C950" s="1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2" customHeight="1" x14ac:dyDescent="0.3">
      <c r="A951" s="1"/>
      <c r="B951" s="14"/>
      <c r="C951" s="1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2" customHeight="1" x14ac:dyDescent="0.3">
      <c r="A952" s="1"/>
      <c r="B952" s="14"/>
      <c r="C952" s="1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2" customHeight="1" x14ac:dyDescent="0.3">
      <c r="A953" s="1"/>
      <c r="B953" s="14"/>
      <c r="C953" s="1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2" customHeight="1" x14ac:dyDescent="0.3">
      <c r="A954" s="1"/>
      <c r="B954" s="14"/>
      <c r="C954" s="1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2" customHeight="1" x14ac:dyDescent="0.3">
      <c r="A955" s="1"/>
      <c r="B955" s="14"/>
      <c r="C955" s="1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2" customHeight="1" x14ac:dyDescent="0.3">
      <c r="A956" s="1"/>
      <c r="B956" s="14"/>
      <c r="C956" s="1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2" customHeight="1" x14ac:dyDescent="0.3">
      <c r="A957" s="1"/>
      <c r="B957" s="14"/>
      <c r="C957" s="1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2" customHeight="1" x14ac:dyDescent="0.3">
      <c r="A958" s="1"/>
      <c r="B958" s="14"/>
      <c r="C958" s="1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2" customHeight="1" x14ac:dyDescent="0.3">
      <c r="A959" s="1"/>
      <c r="B959" s="14"/>
      <c r="C959" s="1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2" customHeight="1" x14ac:dyDescent="0.3">
      <c r="A960" s="1"/>
      <c r="B960" s="14"/>
      <c r="C960" s="1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2" customHeight="1" x14ac:dyDescent="0.3">
      <c r="A961" s="1"/>
      <c r="B961" s="14"/>
      <c r="C961" s="1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2" customHeight="1" x14ac:dyDescent="0.3">
      <c r="A962" s="1"/>
      <c r="B962" s="14"/>
      <c r="C962" s="1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2" customHeight="1" x14ac:dyDescent="0.3">
      <c r="A963" s="1"/>
      <c r="B963" s="14"/>
      <c r="C963" s="1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2" customHeight="1" x14ac:dyDescent="0.3">
      <c r="A964" s="1"/>
      <c r="B964" s="14"/>
      <c r="C964" s="1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2" customHeight="1" x14ac:dyDescent="0.3">
      <c r="A965" s="1"/>
      <c r="B965" s="14"/>
      <c r="C965" s="1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2" customHeight="1" x14ac:dyDescent="0.3">
      <c r="A966" s="1"/>
      <c r="B966" s="14"/>
      <c r="C966" s="1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2" customHeight="1" x14ac:dyDescent="0.3">
      <c r="A967" s="1"/>
      <c r="B967" s="14"/>
      <c r="C967" s="1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2" customHeight="1" x14ac:dyDescent="0.3">
      <c r="A968" s="1"/>
      <c r="B968" s="14"/>
      <c r="C968" s="1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2" customHeight="1" x14ac:dyDescent="0.3">
      <c r="A969" s="1"/>
      <c r="B969" s="14"/>
      <c r="C969" s="1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2" customHeight="1" x14ac:dyDescent="0.3">
      <c r="A970" s="1"/>
      <c r="B970" s="14"/>
      <c r="C970" s="1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2" customHeight="1" x14ac:dyDescent="0.3">
      <c r="A971" s="1"/>
      <c r="B971" s="14"/>
      <c r="C971" s="1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2" customHeight="1" x14ac:dyDescent="0.3">
      <c r="A972" s="1"/>
      <c r="B972" s="14"/>
      <c r="C972" s="1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2" customHeight="1" x14ac:dyDescent="0.3">
      <c r="A973" s="1"/>
      <c r="B973" s="14"/>
      <c r="C973" s="1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2" customHeight="1" x14ac:dyDescent="0.3">
      <c r="A974" s="1"/>
      <c r="B974" s="14"/>
      <c r="C974" s="1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2" customHeight="1" x14ac:dyDescent="0.3">
      <c r="A975" s="1"/>
      <c r="B975" s="14"/>
      <c r="C975" s="1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2" customHeight="1" x14ac:dyDescent="0.3">
      <c r="A976" s="1"/>
      <c r="B976" s="14"/>
      <c r="C976" s="1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2" customHeight="1" x14ac:dyDescent="0.3">
      <c r="A977" s="1"/>
      <c r="B977" s="14"/>
      <c r="C977" s="1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12" customHeight="1" x14ac:dyDescent="0.3">
      <c r="A978" s="1"/>
      <c r="B978" s="14"/>
      <c r="C978" s="1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12" customHeight="1" x14ac:dyDescent="0.3">
      <c r="A979" s="1"/>
      <c r="B979" s="14"/>
      <c r="C979" s="1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12" customHeight="1" x14ac:dyDescent="0.3">
      <c r="A980" s="1"/>
      <c r="B980" s="14"/>
      <c r="C980" s="1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12" customHeight="1" x14ac:dyDescent="0.3">
      <c r="A981" s="1"/>
      <c r="B981" s="14"/>
      <c r="C981" s="1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12" customHeight="1" x14ac:dyDescent="0.3">
      <c r="A982" s="1"/>
      <c r="B982" s="14"/>
      <c r="C982" s="1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12" customHeight="1" x14ac:dyDescent="0.3">
      <c r="A983" s="1"/>
      <c r="B983" s="14"/>
      <c r="C983" s="1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12" customHeight="1" x14ac:dyDescent="0.3">
      <c r="A984" s="1"/>
      <c r="B984" s="14"/>
      <c r="C984" s="1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12" customHeight="1" x14ac:dyDescent="0.3">
      <c r="A985" s="1"/>
      <c r="B985" s="14"/>
      <c r="C985" s="1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12" customHeight="1" x14ac:dyDescent="0.3">
      <c r="A986" s="1"/>
      <c r="B986" s="14"/>
      <c r="C986" s="1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12" customHeight="1" x14ac:dyDescent="0.3">
      <c r="A987" s="1"/>
      <c r="B987" s="14"/>
      <c r="C987" s="1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12" customHeight="1" x14ac:dyDescent="0.3">
      <c r="A988" s="1"/>
      <c r="B988" s="14"/>
      <c r="C988" s="1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12" customHeight="1" x14ac:dyDescent="0.3">
      <c r="A989" s="1"/>
      <c r="B989" s="14"/>
      <c r="C989" s="1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12" customHeight="1" x14ac:dyDescent="0.3">
      <c r="A990" s="1"/>
      <c r="B990" s="14"/>
      <c r="C990" s="1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12" customHeight="1" x14ac:dyDescent="0.3">
      <c r="A991" s="1"/>
      <c r="B991" s="14"/>
      <c r="C991" s="1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12" customHeight="1" x14ac:dyDescent="0.3">
      <c r="A992" s="1"/>
      <c r="B992" s="14"/>
      <c r="C992" s="1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12" customHeight="1" x14ac:dyDescent="0.3">
      <c r="A993" s="1"/>
      <c r="B993" s="14"/>
      <c r="C993" s="1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ht="12" customHeight="1" x14ac:dyDescent="0.3">
      <c r="A994" s="1"/>
      <c r="B994" s="14"/>
      <c r="C994" s="1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ht="12" customHeight="1" x14ac:dyDescent="0.3">
      <c r="A995" s="1"/>
      <c r="B995" s="14"/>
      <c r="C995" s="1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ht="12" customHeight="1" x14ac:dyDescent="0.3">
      <c r="A996" s="1"/>
      <c r="B996" s="14"/>
      <c r="C996" s="1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ht="12" customHeight="1" x14ac:dyDescent="0.3">
      <c r="A997" s="1"/>
      <c r="B997" s="14"/>
      <c r="C997" s="1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ht="12" customHeight="1" x14ac:dyDescent="0.3">
      <c r="A998" s="1"/>
      <c r="B998" s="14"/>
      <c r="C998" s="1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ht="12" customHeight="1" x14ac:dyDescent="0.3">
      <c r="A999" s="1"/>
      <c r="B999" s="14"/>
      <c r="C999" s="1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ht="12" customHeight="1" x14ac:dyDescent="0.3">
      <c r="A1000" s="1"/>
      <c r="B1000" s="14"/>
      <c r="C1000" s="1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pageMargins left="0.7" right="0.7" top="0.75" bottom="0.75" header="0" footer="0"/>
  <pageSetup scale="47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55A11"/>
  </sheetPr>
  <dimension ref="A1:S1000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32" sqref="I32"/>
    </sheetView>
  </sheetViews>
  <sheetFormatPr defaultColWidth="14.44140625" defaultRowHeight="14.4" x14ac:dyDescent="0.3"/>
  <cols>
    <col min="1" max="1" width="45.44140625" customWidth="1"/>
    <col min="2" max="3" width="12.88671875" customWidth="1"/>
    <col min="4" max="4" width="57.33203125" style="71" customWidth="1"/>
    <col min="5" max="19" width="8.6640625" customWidth="1"/>
  </cols>
  <sheetData>
    <row r="1" spans="1:19" ht="15.6" x14ac:dyDescent="0.3">
      <c r="A1" s="13" t="str">
        <f>CompanyName</f>
        <v>Green Solutions Manufacturing Ltd.</v>
      </c>
      <c r="B1" s="14"/>
      <c r="C1" s="14"/>
      <c r="D1" s="6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A2" s="15" t="s">
        <v>145</v>
      </c>
      <c r="B2" s="14"/>
      <c r="C2" s="14"/>
      <c r="D2" s="7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1"/>
      <c r="B3" s="17" t="str">
        <f>IF(B$4&lt;=FinancialYearEnd,"Actual","Forecast")</f>
        <v>Actual</v>
      </c>
      <c r="C3" s="17" t="str">
        <f>IF(C$4&lt;=FinancialYearEnd,"Actual","Forecast")</f>
        <v>Actual</v>
      </c>
      <c r="D3" s="6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80" t="str">
        <f>'P. Input'!D9</f>
        <v>£'K</v>
      </c>
      <c r="B4" s="81">
        <f>EDATE(FinancialYearEnd,-12*NumPriorAnnualReportsRecorded)</f>
        <v>44926</v>
      </c>
      <c r="C4" s="81">
        <f>EDATE(B4,12)</f>
        <v>45291</v>
      </c>
      <c r="D4" s="82" t="s">
        <v>146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3">
      <c r="A5" s="83" t="s">
        <v>147</v>
      </c>
      <c r="B5" s="84" t="s">
        <v>148</v>
      </c>
      <c r="C5" s="84"/>
      <c r="D5" s="8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24.6" x14ac:dyDescent="0.3">
      <c r="A6" s="86" t="s">
        <v>149</v>
      </c>
      <c r="B6" s="87">
        <f>'I. Profit_Loss'!B5*Units_Multiplier</f>
        <v>31536</v>
      </c>
      <c r="C6" s="87">
        <f>'I. Profit_Loss'!C5*Units_Multiplier</f>
        <v>53823</v>
      </c>
      <c r="D6" s="88" t="s">
        <v>184</v>
      </c>
      <c r="E6" s="6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4.6" x14ac:dyDescent="0.3">
      <c r="A7" s="86" t="s">
        <v>38</v>
      </c>
      <c r="B7" s="87">
        <f>'I. Profit_Loss'!B28*Units_Multiplier</f>
        <v>1494</v>
      </c>
      <c r="C7" s="87">
        <f>'I. Profit_Loss'!C28*Units_Multiplier</f>
        <v>5523</v>
      </c>
      <c r="D7" s="88" t="s">
        <v>150</v>
      </c>
      <c r="E7" s="6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4.6" x14ac:dyDescent="0.3">
      <c r="A8" s="86" t="s">
        <v>151</v>
      </c>
      <c r="B8" s="87">
        <f>('I. Profit_Loss'!B13+'I. Profit_Loss'!B14)*Units_Multiplier</f>
        <v>-718</v>
      </c>
      <c r="C8" s="87">
        <f>('I. Profit_Loss'!C13+'I. Profit_Loss'!C14)*Units_Multiplier</f>
        <v>-315</v>
      </c>
      <c r="D8" s="88" t="s">
        <v>152</v>
      </c>
      <c r="E8" s="6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3">
      <c r="A9" s="86" t="s">
        <v>153</v>
      </c>
      <c r="B9" s="87">
        <f>'I. Profit_Loss'!B16*Units_Multiplier</f>
        <v>1154</v>
      </c>
      <c r="C9" s="87">
        <f>'I. Profit_Loss'!C16*Units_Multiplier</f>
        <v>6343</v>
      </c>
      <c r="D9" s="88" t="s">
        <v>185</v>
      </c>
      <c r="E9" s="6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">
      <c r="A10" s="86" t="s">
        <v>154</v>
      </c>
      <c r="B10" s="87">
        <f>'I. Profit_Loss'!B18*Units_Multiplier</f>
        <v>862</v>
      </c>
      <c r="C10" s="87">
        <f>'I. Profit_Loss'!C18*Units_Multiplier</f>
        <v>5644</v>
      </c>
      <c r="D10" s="88" t="s">
        <v>155</v>
      </c>
      <c r="E10" s="6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">
      <c r="A11" s="86"/>
      <c r="B11" s="89"/>
      <c r="C11" s="89"/>
      <c r="D11" s="90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s="83" t="s">
        <v>156</v>
      </c>
      <c r="B12" s="84"/>
      <c r="C12" s="84"/>
      <c r="D12" s="9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36.6" x14ac:dyDescent="0.3">
      <c r="A13" s="86" t="s">
        <v>157</v>
      </c>
      <c r="B13" s="87">
        <f>'I. Balance_Sheet'!B26*Units_Multiplier</f>
        <v>52148</v>
      </c>
      <c r="C13" s="87">
        <f>'I. Balance_Sheet'!C26*Units_Multiplier</f>
        <v>62131</v>
      </c>
      <c r="D13" s="88" t="s">
        <v>193</v>
      </c>
      <c r="E13" s="6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">
      <c r="A14" s="86" t="s">
        <v>158</v>
      </c>
      <c r="B14" s="87">
        <f>('I. Balance_Sheet'!B26-'I. Balance_Sheet'!B13-'I. Balance_Sheet'!B14)*Units_Multiplier</f>
        <v>51628</v>
      </c>
      <c r="C14" s="87">
        <f>('I. Balance_Sheet'!C26-'I. Balance_Sheet'!C13-'I. Balance_Sheet'!C14)*Units_Multiplier</f>
        <v>61674</v>
      </c>
      <c r="D14" s="88" t="s">
        <v>159</v>
      </c>
      <c r="E14" s="6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4.6" x14ac:dyDescent="0.3">
      <c r="A15" s="86" t="s">
        <v>160</v>
      </c>
      <c r="B15" s="87">
        <f>'I. Balance_Sheet'!B22*Units_Multiplier</f>
        <v>4101</v>
      </c>
      <c r="C15" s="87">
        <f>'I. Balance_Sheet'!C22*Units_Multiplier</f>
        <v>5757</v>
      </c>
      <c r="D15" s="88" t="s">
        <v>186</v>
      </c>
      <c r="E15" s="6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4.6" x14ac:dyDescent="0.3">
      <c r="A16" s="86" t="s">
        <v>53</v>
      </c>
      <c r="B16" s="87">
        <f>'I. Balance_Sheet'!B19*Units_Multiplier</f>
        <v>19384</v>
      </c>
      <c r="C16" s="87">
        <f>'I. Balance_Sheet'!C19*Units_Multiplier</f>
        <v>17576</v>
      </c>
      <c r="D16" s="88" t="s">
        <v>192</v>
      </c>
      <c r="E16" s="6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">
      <c r="A17" s="86" t="s">
        <v>74</v>
      </c>
      <c r="B17" s="87">
        <f>'I. Balance_Sheet'!B46*Units_Multiplier</f>
        <v>28418</v>
      </c>
      <c r="C17" s="87">
        <f>'I. Balance_Sheet'!C46*Units_Multiplier</f>
        <v>30548</v>
      </c>
      <c r="D17" s="88" t="s">
        <v>161</v>
      </c>
      <c r="E17" s="6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4.6" x14ac:dyDescent="0.3">
      <c r="A18" s="86" t="s">
        <v>162</v>
      </c>
      <c r="B18" s="87">
        <f t="shared" ref="B18:C18" si="0">(B13-B17)</f>
        <v>23730</v>
      </c>
      <c r="C18" s="87">
        <f t="shared" si="0"/>
        <v>31583</v>
      </c>
      <c r="D18" s="88" t="s">
        <v>187</v>
      </c>
      <c r="E18" s="6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4.6" x14ac:dyDescent="0.3">
      <c r="A19" s="86" t="s">
        <v>163</v>
      </c>
      <c r="B19" s="87">
        <f t="shared" ref="B19:C19" si="1">(B14-B17)</f>
        <v>23210</v>
      </c>
      <c r="C19" s="87">
        <f t="shared" si="1"/>
        <v>31126</v>
      </c>
      <c r="D19" s="88" t="s">
        <v>164</v>
      </c>
      <c r="E19" s="6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 s="86"/>
      <c r="B20" s="89"/>
      <c r="C20" s="89"/>
      <c r="D20" s="90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83" t="s">
        <v>165</v>
      </c>
      <c r="B21" s="84"/>
      <c r="C21" s="84"/>
      <c r="D21" s="9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24.6" x14ac:dyDescent="0.3">
      <c r="A22" s="86" t="s">
        <v>166</v>
      </c>
      <c r="B22" s="87">
        <f>'I. Cashflow'!B25*Units_Multiplier</f>
        <v>5943</v>
      </c>
      <c r="C22" s="87">
        <f>'I. Cashflow'!C25*Units_Multiplier</f>
        <v>11446</v>
      </c>
      <c r="D22" s="88" t="s">
        <v>167</v>
      </c>
      <c r="E22" s="66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24.6" x14ac:dyDescent="0.3">
      <c r="A23" s="86" t="s">
        <v>168</v>
      </c>
      <c r="B23" s="87">
        <f>SUM('I. Cashflow'!B28:B30,'I. Cashflow'!B34)</f>
        <v>-3242</v>
      </c>
      <c r="C23" s="87">
        <f>SUM('I. Cashflow'!C28:C30,'I. Cashflow'!C34)</f>
        <v>-8014</v>
      </c>
      <c r="D23" s="88" t="s">
        <v>188</v>
      </c>
      <c r="E23" s="6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4.6" x14ac:dyDescent="0.3">
      <c r="A24" s="86" t="s">
        <v>169</v>
      </c>
      <c r="B24" s="87">
        <f t="shared" ref="B24:C24" si="2">SUM(B22:B23)</f>
        <v>2701</v>
      </c>
      <c r="C24" s="87">
        <f t="shared" si="2"/>
        <v>3432</v>
      </c>
      <c r="D24" s="88" t="s">
        <v>170</v>
      </c>
      <c r="E24" s="6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">
      <c r="A25" s="86"/>
      <c r="B25" s="89"/>
      <c r="C25" s="89"/>
      <c r="D25" s="90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3">
      <c r="A26" s="83" t="s">
        <v>171</v>
      </c>
      <c r="B26" s="84"/>
      <c r="C26" s="84"/>
      <c r="D26" s="9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3">
      <c r="A27" s="86" t="s">
        <v>39</v>
      </c>
      <c r="B27" s="92">
        <f t="shared" ref="B27:C27" si="3">IFERROR(B7/B6,"N/A")</f>
        <v>4.737442922374429E-2</v>
      </c>
      <c r="C27" s="92">
        <f t="shared" si="3"/>
        <v>0.10261412407335155</v>
      </c>
      <c r="D27" s="93" t="s">
        <v>189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">
      <c r="A28" s="94" t="s">
        <v>179</v>
      </c>
      <c r="B28" s="95">
        <f>IFERROR('I. Profit_Loss'!B12/'I. Profit_Loss'!B5,"N/A")</f>
        <v>6.3229325215626589E-2</v>
      </c>
      <c r="C28" s="95">
        <f>IFERROR('I. Profit_Loss'!C12/'I. Profit_Loss'!C5,"N/A")</f>
        <v>0.12119354179440016</v>
      </c>
      <c r="D28" s="96" t="s">
        <v>180</v>
      </c>
      <c r="E28" s="6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4.6" x14ac:dyDescent="0.3">
      <c r="A29" s="86" t="s">
        <v>172</v>
      </c>
      <c r="B29" s="95">
        <f t="shared" ref="B29:C29" si="4">IFERROR(IF(B7&lt;0,"N/A",B7/-B8),"N/A")</f>
        <v>2.0807799442896937</v>
      </c>
      <c r="C29" s="95">
        <f t="shared" si="4"/>
        <v>17.533333333333335</v>
      </c>
      <c r="D29" s="96" t="s">
        <v>173</v>
      </c>
      <c r="E29" s="6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24.6" x14ac:dyDescent="0.3">
      <c r="A30" s="86" t="s">
        <v>181</v>
      </c>
      <c r="B30" s="95">
        <f>IFERROR('I. Balance_Sheet'!B24/'I. Balance_Sheet'!B38,"N/A")</f>
        <v>1.8751403705783267</v>
      </c>
      <c r="C30" s="95">
        <f>IFERROR('I. Balance_Sheet'!C24/'I. Balance_Sheet'!C38,"N/A")</f>
        <v>1.3752854605430094</v>
      </c>
      <c r="D30" s="96" t="s">
        <v>174</v>
      </c>
      <c r="E30" s="6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24.6" x14ac:dyDescent="0.3">
      <c r="A31" s="86" t="s">
        <v>175</v>
      </c>
      <c r="B31" s="95">
        <f>SUM('I. Balance_Sheet'!B37,'I. Balance_Sheet'!B41)/'I. Profit_Loss'!B28</f>
        <v>7.8232931726907626</v>
      </c>
      <c r="C31" s="95">
        <f>SUM('I. Balance_Sheet'!C37,'I. Balance_Sheet'!C41)/'I. Profit_Loss'!C28</f>
        <v>1.2373709940249864</v>
      </c>
      <c r="D31" s="96" t="s">
        <v>190</v>
      </c>
      <c r="E31" s="73">
        <f>B31-C31</f>
        <v>6.5859221786657764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36.6" x14ac:dyDescent="0.3">
      <c r="A32" s="86" t="s">
        <v>176</v>
      </c>
      <c r="B32" s="95">
        <f>(SUM('I. Balance_Sheet'!B37,'I. Balance_Sheet'!B41)-'I. Balance_Sheet'!B19)/'I. Profit_Loss'!B28</f>
        <v>-5.1512717536813923</v>
      </c>
      <c r="C32" s="95">
        <f>(SUM('I. Balance_Sheet'!C37,'I. Balance_Sheet'!C41)-'I. Balance_Sheet'!C19)/'I. Profit_Loss'!C28</f>
        <v>-1.9449574506608727</v>
      </c>
      <c r="D32" s="96" t="s">
        <v>191</v>
      </c>
      <c r="E32" s="6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24.6" x14ac:dyDescent="0.3">
      <c r="A33" s="86" t="s">
        <v>177</v>
      </c>
      <c r="B33" s="95">
        <f t="shared" ref="B33:C33" si="5">B22/B23</f>
        <v>-1.8331276989512646</v>
      </c>
      <c r="C33" s="95">
        <f t="shared" si="5"/>
        <v>-1.4282505615173446</v>
      </c>
      <c r="D33" s="96" t="s">
        <v>178</v>
      </c>
      <c r="E33" s="6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3">
      <c r="A34" s="1"/>
      <c r="B34" s="14"/>
      <c r="C34" s="14"/>
      <c r="D34" s="69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3">
      <c r="A35" s="1"/>
      <c r="B35" s="14"/>
      <c r="C35" s="14"/>
      <c r="D35" s="69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3">
      <c r="A36" s="1"/>
      <c r="B36" s="14"/>
      <c r="C36" s="14"/>
      <c r="D36" s="6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3">
      <c r="A37" s="1"/>
      <c r="B37" s="14"/>
      <c r="C37" s="14"/>
      <c r="D37" s="69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3">
      <c r="A38" s="1"/>
      <c r="B38" s="14"/>
      <c r="C38" s="14"/>
      <c r="D38" s="6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3">
      <c r="A39" s="1"/>
      <c r="B39" s="14"/>
      <c r="C39" s="14"/>
      <c r="D39" s="6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3">
      <c r="A40" s="1"/>
      <c r="B40" s="14"/>
      <c r="C40" s="14"/>
      <c r="D40" s="6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3">
      <c r="A41" s="1"/>
      <c r="B41" s="14"/>
      <c r="C41" s="14"/>
      <c r="D41" s="6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3">
      <c r="A42" s="1"/>
      <c r="B42" s="14"/>
      <c r="C42" s="14"/>
      <c r="D42" s="6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3">
      <c r="A43" s="1"/>
      <c r="B43" s="14"/>
      <c r="C43" s="14"/>
      <c r="D43" s="69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3">
      <c r="A44" s="1"/>
      <c r="B44" s="14"/>
      <c r="C44" s="14"/>
      <c r="D44" s="69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3">
      <c r="A45" s="1"/>
      <c r="B45" s="14"/>
      <c r="C45" s="14"/>
      <c r="D45" s="6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3">
      <c r="A46" s="1"/>
      <c r="B46" s="14"/>
      <c r="C46" s="14"/>
      <c r="D46" s="6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3">
      <c r="A47" s="1"/>
      <c r="B47" s="14"/>
      <c r="C47" s="14"/>
      <c r="D47" s="6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3">
      <c r="A48" s="1"/>
      <c r="B48" s="14"/>
      <c r="C48" s="14"/>
      <c r="D48" s="69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3">
      <c r="A49" s="1"/>
      <c r="B49" s="14"/>
      <c r="C49" s="14"/>
      <c r="D49" s="6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3">
      <c r="A50" s="1"/>
      <c r="B50" s="14"/>
      <c r="C50" s="14"/>
      <c r="D50" s="69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3">
      <c r="A51" s="1"/>
      <c r="B51" s="14"/>
      <c r="C51" s="14"/>
      <c r="D51" s="69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3">
      <c r="A52" s="1"/>
      <c r="B52" s="14"/>
      <c r="C52" s="14"/>
      <c r="D52" s="6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3">
      <c r="A53" s="1"/>
      <c r="B53" s="14"/>
      <c r="C53" s="14"/>
      <c r="D53" s="6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3">
      <c r="A54" s="1"/>
      <c r="B54" s="14"/>
      <c r="C54" s="14"/>
      <c r="D54" s="6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3">
      <c r="A55" s="1"/>
      <c r="B55" s="14"/>
      <c r="C55" s="14"/>
      <c r="D55" s="69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3">
      <c r="A56" s="1"/>
      <c r="B56" s="14"/>
      <c r="C56" s="14"/>
      <c r="D56" s="69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3">
      <c r="A57" s="1"/>
      <c r="B57" s="14"/>
      <c r="C57" s="14"/>
      <c r="D57" s="6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3">
      <c r="A58" s="1"/>
      <c r="B58" s="14"/>
      <c r="C58" s="14"/>
      <c r="D58" s="6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3">
      <c r="A59" s="1"/>
      <c r="B59" s="14"/>
      <c r="C59" s="14"/>
      <c r="D59" s="6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x14ac:dyDescent="0.3">
      <c r="A60" s="1"/>
      <c r="B60" s="14"/>
      <c r="C60" s="14"/>
      <c r="D60" s="6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3">
      <c r="A61" s="1"/>
      <c r="B61" s="14"/>
      <c r="C61" s="14"/>
      <c r="D61" s="69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x14ac:dyDescent="0.3">
      <c r="A62" s="1"/>
      <c r="B62" s="14"/>
      <c r="C62" s="14"/>
      <c r="D62" s="69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3">
      <c r="A63" s="1"/>
      <c r="B63" s="14"/>
      <c r="C63" s="14"/>
      <c r="D63" s="69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x14ac:dyDescent="0.3">
      <c r="A64" s="1"/>
      <c r="B64" s="14"/>
      <c r="C64" s="14"/>
      <c r="D64" s="69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x14ac:dyDescent="0.3">
      <c r="A65" s="1"/>
      <c r="B65" s="14"/>
      <c r="C65" s="14"/>
      <c r="D65" s="69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x14ac:dyDescent="0.3">
      <c r="A66" s="1"/>
      <c r="B66" s="14"/>
      <c r="C66" s="14"/>
      <c r="D66" s="6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3">
      <c r="A67" s="1"/>
      <c r="B67" s="14"/>
      <c r="C67" s="14"/>
      <c r="D67" s="69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x14ac:dyDescent="0.3">
      <c r="A68" s="1"/>
      <c r="B68" s="14"/>
      <c r="C68" s="14"/>
      <c r="D68" s="69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x14ac:dyDescent="0.3">
      <c r="A69" s="1"/>
      <c r="B69" s="14"/>
      <c r="C69" s="14"/>
      <c r="D69" s="6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x14ac:dyDescent="0.3">
      <c r="A70" s="1"/>
      <c r="B70" s="14"/>
      <c r="C70" s="14"/>
      <c r="D70" s="69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x14ac:dyDescent="0.3">
      <c r="A71" s="1"/>
      <c r="B71" s="14"/>
      <c r="C71" s="14"/>
      <c r="D71" s="69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x14ac:dyDescent="0.3">
      <c r="A72" s="1"/>
      <c r="B72" s="14"/>
      <c r="C72" s="14"/>
      <c r="D72" s="6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x14ac:dyDescent="0.3">
      <c r="A73" s="1"/>
      <c r="B73" s="14"/>
      <c r="C73" s="14"/>
      <c r="D73" s="69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x14ac:dyDescent="0.3">
      <c r="A74" s="1"/>
      <c r="B74" s="14"/>
      <c r="C74" s="14"/>
      <c r="D74" s="69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x14ac:dyDescent="0.3">
      <c r="A75" s="1"/>
      <c r="B75" s="14"/>
      <c r="C75" s="14"/>
      <c r="D75" s="69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x14ac:dyDescent="0.3">
      <c r="A76" s="1"/>
      <c r="B76" s="14"/>
      <c r="C76" s="14"/>
      <c r="D76" s="69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x14ac:dyDescent="0.3">
      <c r="A77" s="1"/>
      <c r="B77" s="14"/>
      <c r="C77" s="14"/>
      <c r="D77" s="6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x14ac:dyDescent="0.3">
      <c r="A78" s="1"/>
      <c r="B78" s="14"/>
      <c r="C78" s="14"/>
      <c r="D78" s="69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x14ac:dyDescent="0.3">
      <c r="A79" s="1"/>
      <c r="B79" s="14"/>
      <c r="C79" s="14"/>
      <c r="D79" s="69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x14ac:dyDescent="0.3">
      <c r="A80" s="1"/>
      <c r="B80" s="14"/>
      <c r="C80" s="14"/>
      <c r="D80" s="69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x14ac:dyDescent="0.3">
      <c r="A81" s="1"/>
      <c r="B81" s="14"/>
      <c r="C81" s="14"/>
      <c r="D81" s="69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x14ac:dyDescent="0.3">
      <c r="A82" s="1"/>
      <c r="B82" s="14"/>
      <c r="C82" s="14"/>
      <c r="D82" s="69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x14ac:dyDescent="0.3">
      <c r="A83" s="1"/>
      <c r="B83" s="14"/>
      <c r="C83" s="14"/>
      <c r="D83" s="69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x14ac:dyDescent="0.3">
      <c r="A84" s="1"/>
      <c r="B84" s="14"/>
      <c r="C84" s="14"/>
      <c r="D84" s="69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x14ac:dyDescent="0.3">
      <c r="A85" s="1"/>
      <c r="B85" s="14"/>
      <c r="C85" s="14"/>
      <c r="D85" s="69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x14ac:dyDescent="0.3">
      <c r="A86" s="1"/>
      <c r="B86" s="14"/>
      <c r="C86" s="14"/>
      <c r="D86" s="69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x14ac:dyDescent="0.3">
      <c r="A87" s="1"/>
      <c r="B87" s="14"/>
      <c r="C87" s="14"/>
      <c r="D87" s="69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x14ac:dyDescent="0.3">
      <c r="A88" s="1"/>
      <c r="B88" s="14"/>
      <c r="C88" s="14"/>
      <c r="D88" s="69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x14ac:dyDescent="0.3">
      <c r="A89" s="1"/>
      <c r="B89" s="14"/>
      <c r="C89" s="14"/>
      <c r="D89" s="69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x14ac:dyDescent="0.3">
      <c r="A90" s="1"/>
      <c r="B90" s="14"/>
      <c r="C90" s="14"/>
      <c r="D90" s="69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x14ac:dyDescent="0.3">
      <c r="A91" s="1"/>
      <c r="B91" s="14"/>
      <c r="C91" s="14"/>
      <c r="D91" s="69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x14ac:dyDescent="0.3">
      <c r="A92" s="1"/>
      <c r="B92" s="14"/>
      <c r="C92" s="14"/>
      <c r="D92" s="69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x14ac:dyDescent="0.3">
      <c r="A93" s="1"/>
      <c r="B93" s="14"/>
      <c r="C93" s="14"/>
      <c r="D93" s="69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x14ac:dyDescent="0.3">
      <c r="A94" s="1"/>
      <c r="B94" s="14"/>
      <c r="C94" s="14"/>
      <c r="D94" s="69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x14ac:dyDescent="0.3">
      <c r="A95" s="1"/>
      <c r="B95" s="14"/>
      <c r="C95" s="14"/>
      <c r="D95" s="69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x14ac:dyDescent="0.3">
      <c r="A96" s="1"/>
      <c r="B96" s="14"/>
      <c r="C96" s="14"/>
      <c r="D96" s="6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x14ac:dyDescent="0.3">
      <c r="A97" s="1"/>
      <c r="B97" s="14"/>
      <c r="C97" s="14"/>
      <c r="D97" s="69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x14ac:dyDescent="0.3">
      <c r="A98" s="1"/>
      <c r="B98" s="14"/>
      <c r="C98" s="14"/>
      <c r="D98" s="69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x14ac:dyDescent="0.3">
      <c r="A99" s="1"/>
      <c r="B99" s="14"/>
      <c r="C99" s="14"/>
      <c r="D99" s="69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x14ac:dyDescent="0.3">
      <c r="A100" s="1"/>
      <c r="B100" s="14"/>
      <c r="C100" s="14"/>
      <c r="D100" s="69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x14ac:dyDescent="0.3">
      <c r="A101" s="1"/>
      <c r="B101" s="14"/>
      <c r="C101" s="14"/>
      <c r="D101" s="69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x14ac:dyDescent="0.3">
      <c r="A102" s="1"/>
      <c r="B102" s="14"/>
      <c r="C102" s="14"/>
      <c r="D102" s="69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x14ac:dyDescent="0.3">
      <c r="A103" s="1"/>
      <c r="B103" s="14"/>
      <c r="C103" s="14"/>
      <c r="D103" s="69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x14ac:dyDescent="0.3">
      <c r="A104" s="1"/>
      <c r="B104" s="14"/>
      <c r="C104" s="14"/>
      <c r="D104" s="69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x14ac:dyDescent="0.3">
      <c r="A105" s="1"/>
      <c r="B105" s="14"/>
      <c r="C105" s="14"/>
      <c r="D105" s="69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x14ac:dyDescent="0.3">
      <c r="A106" s="1"/>
      <c r="B106" s="14"/>
      <c r="C106" s="14"/>
      <c r="D106" s="69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x14ac:dyDescent="0.3">
      <c r="A107" s="1"/>
      <c r="B107" s="14"/>
      <c r="C107" s="14"/>
      <c r="D107" s="69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x14ac:dyDescent="0.3">
      <c r="A108" s="1"/>
      <c r="B108" s="14"/>
      <c r="C108" s="14"/>
      <c r="D108" s="69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x14ac:dyDescent="0.3">
      <c r="A109" s="1"/>
      <c r="B109" s="14"/>
      <c r="C109" s="14"/>
      <c r="D109" s="69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x14ac:dyDescent="0.3">
      <c r="A110" s="1"/>
      <c r="B110" s="14"/>
      <c r="C110" s="14"/>
      <c r="D110" s="69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x14ac:dyDescent="0.3">
      <c r="A111" s="1"/>
      <c r="B111" s="14"/>
      <c r="C111" s="14"/>
      <c r="D111" s="69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x14ac:dyDescent="0.3">
      <c r="A112" s="1"/>
      <c r="B112" s="14"/>
      <c r="C112" s="14"/>
      <c r="D112" s="69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x14ac:dyDescent="0.3">
      <c r="A113" s="1"/>
      <c r="B113" s="14"/>
      <c r="C113" s="14"/>
      <c r="D113" s="69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x14ac:dyDescent="0.3">
      <c r="A114" s="1"/>
      <c r="B114" s="14"/>
      <c r="C114" s="14"/>
      <c r="D114" s="69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x14ac:dyDescent="0.3">
      <c r="A115" s="1"/>
      <c r="B115" s="14"/>
      <c r="C115" s="14"/>
      <c r="D115" s="69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x14ac:dyDescent="0.3">
      <c r="A116" s="1"/>
      <c r="B116" s="14"/>
      <c r="C116" s="14"/>
      <c r="D116" s="69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x14ac:dyDescent="0.3">
      <c r="A117" s="1"/>
      <c r="B117" s="14"/>
      <c r="C117" s="14"/>
      <c r="D117" s="69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x14ac:dyDescent="0.3">
      <c r="A118" s="1"/>
      <c r="B118" s="14"/>
      <c r="C118" s="14"/>
      <c r="D118" s="69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x14ac:dyDescent="0.3">
      <c r="A119" s="1"/>
      <c r="B119" s="14"/>
      <c r="C119" s="14"/>
      <c r="D119" s="69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x14ac:dyDescent="0.3">
      <c r="A120" s="1"/>
      <c r="B120" s="14"/>
      <c r="C120" s="14"/>
      <c r="D120" s="69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x14ac:dyDescent="0.3">
      <c r="A121" s="1"/>
      <c r="B121" s="14"/>
      <c r="C121" s="14"/>
      <c r="D121" s="69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x14ac:dyDescent="0.3">
      <c r="A122" s="1"/>
      <c r="B122" s="14"/>
      <c r="C122" s="14"/>
      <c r="D122" s="69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x14ac:dyDescent="0.3">
      <c r="A123" s="1"/>
      <c r="B123" s="14"/>
      <c r="C123" s="14"/>
      <c r="D123" s="69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x14ac:dyDescent="0.3">
      <c r="A124" s="1"/>
      <c r="B124" s="14"/>
      <c r="C124" s="14"/>
      <c r="D124" s="69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x14ac:dyDescent="0.3">
      <c r="A125" s="1"/>
      <c r="B125" s="14"/>
      <c r="C125" s="14"/>
      <c r="D125" s="69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x14ac:dyDescent="0.3">
      <c r="A126" s="1"/>
      <c r="B126" s="14"/>
      <c r="C126" s="14"/>
      <c r="D126" s="69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x14ac:dyDescent="0.3">
      <c r="A127" s="1"/>
      <c r="B127" s="14"/>
      <c r="C127" s="14"/>
      <c r="D127" s="69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x14ac:dyDescent="0.3">
      <c r="A128" s="1"/>
      <c r="B128" s="14"/>
      <c r="C128" s="14"/>
      <c r="D128" s="69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x14ac:dyDescent="0.3">
      <c r="A129" s="1"/>
      <c r="B129" s="14"/>
      <c r="C129" s="14"/>
      <c r="D129" s="69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x14ac:dyDescent="0.3">
      <c r="A130" s="1"/>
      <c r="B130" s="14"/>
      <c r="C130" s="14"/>
      <c r="D130" s="69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x14ac:dyDescent="0.3">
      <c r="A131" s="1"/>
      <c r="B131" s="14"/>
      <c r="C131" s="14"/>
      <c r="D131" s="69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x14ac:dyDescent="0.3">
      <c r="A132" s="1"/>
      <c r="B132" s="14"/>
      <c r="C132" s="14"/>
      <c r="D132" s="69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x14ac:dyDescent="0.3">
      <c r="A133" s="1"/>
      <c r="B133" s="14"/>
      <c r="C133" s="14"/>
      <c r="D133" s="69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x14ac:dyDescent="0.3">
      <c r="A134" s="1"/>
      <c r="B134" s="14"/>
      <c r="C134" s="14"/>
      <c r="D134" s="69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x14ac:dyDescent="0.3">
      <c r="A135" s="1"/>
      <c r="B135" s="14"/>
      <c r="C135" s="14"/>
      <c r="D135" s="69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x14ac:dyDescent="0.3">
      <c r="A136" s="1"/>
      <c r="B136" s="14"/>
      <c r="C136" s="14"/>
      <c r="D136" s="69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x14ac:dyDescent="0.3">
      <c r="A137" s="1"/>
      <c r="B137" s="14"/>
      <c r="C137" s="14"/>
      <c r="D137" s="69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x14ac:dyDescent="0.3">
      <c r="A138" s="1"/>
      <c r="B138" s="14"/>
      <c r="C138" s="14"/>
      <c r="D138" s="69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x14ac:dyDescent="0.3">
      <c r="A139" s="1"/>
      <c r="B139" s="14"/>
      <c r="C139" s="14"/>
      <c r="D139" s="69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x14ac:dyDescent="0.3">
      <c r="A140" s="1"/>
      <c r="B140" s="14"/>
      <c r="C140" s="14"/>
      <c r="D140" s="69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x14ac:dyDescent="0.3">
      <c r="A141" s="1"/>
      <c r="B141" s="14"/>
      <c r="C141" s="14"/>
      <c r="D141" s="69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x14ac:dyDescent="0.3">
      <c r="A142" s="1"/>
      <c r="B142" s="14"/>
      <c r="C142" s="14"/>
      <c r="D142" s="69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x14ac:dyDescent="0.3">
      <c r="A143" s="1"/>
      <c r="B143" s="14"/>
      <c r="C143" s="14"/>
      <c r="D143" s="69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x14ac:dyDescent="0.3">
      <c r="A144" s="1"/>
      <c r="B144" s="14"/>
      <c r="C144" s="14"/>
      <c r="D144" s="69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x14ac:dyDescent="0.3">
      <c r="A145" s="1"/>
      <c r="B145" s="14"/>
      <c r="C145" s="14"/>
      <c r="D145" s="69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x14ac:dyDescent="0.3">
      <c r="A146" s="1"/>
      <c r="B146" s="14"/>
      <c r="C146" s="14"/>
      <c r="D146" s="69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x14ac:dyDescent="0.3">
      <c r="A147" s="1"/>
      <c r="B147" s="14"/>
      <c r="C147" s="14"/>
      <c r="D147" s="69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x14ac:dyDescent="0.3">
      <c r="A148" s="1"/>
      <c r="B148" s="14"/>
      <c r="C148" s="14"/>
      <c r="D148" s="69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x14ac:dyDescent="0.3">
      <c r="A149" s="1"/>
      <c r="B149" s="14"/>
      <c r="C149" s="14"/>
      <c r="D149" s="69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x14ac:dyDescent="0.3">
      <c r="A150" s="1"/>
      <c r="B150" s="14"/>
      <c r="C150" s="14"/>
      <c r="D150" s="69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x14ac:dyDescent="0.3">
      <c r="A151" s="1"/>
      <c r="B151" s="14"/>
      <c r="C151" s="14"/>
      <c r="D151" s="69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x14ac:dyDescent="0.3">
      <c r="A152" s="1"/>
      <c r="B152" s="14"/>
      <c r="C152" s="14"/>
      <c r="D152" s="69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x14ac:dyDescent="0.3">
      <c r="A153" s="1"/>
      <c r="B153" s="14"/>
      <c r="C153" s="14"/>
      <c r="D153" s="69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x14ac:dyDescent="0.3">
      <c r="A154" s="1"/>
      <c r="B154" s="14"/>
      <c r="C154" s="14"/>
      <c r="D154" s="69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x14ac:dyDescent="0.3">
      <c r="A155" s="1"/>
      <c r="B155" s="14"/>
      <c r="C155" s="14"/>
      <c r="D155" s="69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x14ac:dyDescent="0.3">
      <c r="A156" s="1"/>
      <c r="B156" s="14"/>
      <c r="C156" s="14"/>
      <c r="D156" s="69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x14ac:dyDescent="0.3">
      <c r="A157" s="1"/>
      <c r="B157" s="14"/>
      <c r="C157" s="14"/>
      <c r="D157" s="69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x14ac:dyDescent="0.3">
      <c r="A158" s="1"/>
      <c r="B158" s="14"/>
      <c r="C158" s="14"/>
      <c r="D158" s="69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x14ac:dyDescent="0.3">
      <c r="A159" s="1"/>
      <c r="B159" s="14"/>
      <c r="C159" s="14"/>
      <c r="D159" s="69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x14ac:dyDescent="0.3">
      <c r="A160" s="1"/>
      <c r="B160" s="14"/>
      <c r="C160" s="14"/>
      <c r="D160" s="69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x14ac:dyDescent="0.3">
      <c r="A161" s="1"/>
      <c r="B161" s="14"/>
      <c r="C161" s="14"/>
      <c r="D161" s="69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x14ac:dyDescent="0.3">
      <c r="A162" s="1"/>
      <c r="B162" s="14"/>
      <c r="C162" s="14"/>
      <c r="D162" s="69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x14ac:dyDescent="0.3">
      <c r="A163" s="1"/>
      <c r="B163" s="14"/>
      <c r="C163" s="14"/>
      <c r="D163" s="69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x14ac:dyDescent="0.3">
      <c r="A164" s="1"/>
      <c r="B164" s="14"/>
      <c r="C164" s="14"/>
      <c r="D164" s="69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x14ac:dyDescent="0.3">
      <c r="A165" s="1"/>
      <c r="B165" s="14"/>
      <c r="C165" s="14"/>
      <c r="D165" s="69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x14ac:dyDescent="0.3">
      <c r="A166" s="1"/>
      <c r="B166" s="14"/>
      <c r="C166" s="14"/>
      <c r="D166" s="69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x14ac:dyDescent="0.3">
      <c r="A167" s="1"/>
      <c r="B167" s="14"/>
      <c r="C167" s="14"/>
      <c r="D167" s="69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x14ac:dyDescent="0.3">
      <c r="A168" s="1"/>
      <c r="B168" s="14"/>
      <c r="C168" s="14"/>
      <c r="D168" s="69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x14ac:dyDescent="0.3">
      <c r="A169" s="1"/>
      <c r="B169" s="14"/>
      <c r="C169" s="14"/>
      <c r="D169" s="69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x14ac:dyDescent="0.3">
      <c r="A170" s="1"/>
      <c r="B170" s="14"/>
      <c r="C170" s="14"/>
      <c r="D170" s="69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x14ac:dyDescent="0.3">
      <c r="A171" s="1"/>
      <c r="B171" s="14"/>
      <c r="C171" s="14"/>
      <c r="D171" s="69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x14ac:dyDescent="0.3">
      <c r="A172" s="1"/>
      <c r="B172" s="14"/>
      <c r="C172" s="14"/>
      <c r="D172" s="69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x14ac:dyDescent="0.3">
      <c r="A173" s="1"/>
      <c r="B173" s="14"/>
      <c r="C173" s="14"/>
      <c r="D173" s="69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x14ac:dyDescent="0.3">
      <c r="A174" s="1"/>
      <c r="B174" s="14"/>
      <c r="C174" s="14"/>
      <c r="D174" s="69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x14ac:dyDescent="0.3">
      <c r="A175" s="1"/>
      <c r="B175" s="14"/>
      <c r="C175" s="14"/>
      <c r="D175" s="69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x14ac:dyDescent="0.3">
      <c r="A176" s="1"/>
      <c r="B176" s="14"/>
      <c r="C176" s="14"/>
      <c r="D176" s="69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x14ac:dyDescent="0.3">
      <c r="A177" s="1"/>
      <c r="B177" s="14"/>
      <c r="C177" s="14"/>
      <c r="D177" s="69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x14ac:dyDescent="0.3">
      <c r="A178" s="1"/>
      <c r="B178" s="14"/>
      <c r="C178" s="14"/>
      <c r="D178" s="69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x14ac:dyDescent="0.3">
      <c r="A179" s="1"/>
      <c r="B179" s="14"/>
      <c r="C179" s="14"/>
      <c r="D179" s="69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x14ac:dyDescent="0.3">
      <c r="A180" s="1"/>
      <c r="B180" s="14"/>
      <c r="C180" s="14"/>
      <c r="D180" s="69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x14ac:dyDescent="0.3">
      <c r="A181" s="1"/>
      <c r="B181" s="14"/>
      <c r="C181" s="14"/>
      <c r="D181" s="69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x14ac:dyDescent="0.3">
      <c r="A182" s="1"/>
      <c r="B182" s="14"/>
      <c r="C182" s="14"/>
      <c r="D182" s="69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x14ac:dyDescent="0.3">
      <c r="A183" s="1"/>
      <c r="B183" s="14"/>
      <c r="C183" s="14"/>
      <c r="D183" s="69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x14ac:dyDescent="0.3">
      <c r="A184" s="1"/>
      <c r="B184" s="14"/>
      <c r="C184" s="14"/>
      <c r="D184" s="69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x14ac:dyDescent="0.3">
      <c r="A185" s="1"/>
      <c r="B185" s="14"/>
      <c r="C185" s="14"/>
      <c r="D185" s="69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x14ac:dyDescent="0.3">
      <c r="A186" s="1"/>
      <c r="B186" s="14"/>
      <c r="C186" s="14"/>
      <c r="D186" s="69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x14ac:dyDescent="0.3">
      <c r="A187" s="1"/>
      <c r="B187" s="14"/>
      <c r="C187" s="14"/>
      <c r="D187" s="69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x14ac:dyDescent="0.3">
      <c r="A188" s="1"/>
      <c r="B188" s="14"/>
      <c r="C188" s="14"/>
      <c r="D188" s="69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x14ac:dyDescent="0.3">
      <c r="A189" s="1"/>
      <c r="B189" s="14"/>
      <c r="C189" s="14"/>
      <c r="D189" s="69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x14ac:dyDescent="0.3">
      <c r="A190" s="1"/>
      <c r="B190" s="14"/>
      <c r="C190" s="14"/>
      <c r="D190" s="69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x14ac:dyDescent="0.3">
      <c r="A191" s="1"/>
      <c r="B191" s="14"/>
      <c r="C191" s="14"/>
      <c r="D191" s="69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x14ac:dyDescent="0.3">
      <c r="A192" s="1"/>
      <c r="B192" s="14"/>
      <c r="C192" s="14"/>
      <c r="D192" s="69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x14ac:dyDescent="0.3">
      <c r="A193" s="1"/>
      <c r="B193" s="14"/>
      <c r="C193" s="14"/>
      <c r="D193" s="69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x14ac:dyDescent="0.3">
      <c r="A194" s="1"/>
      <c r="B194" s="14"/>
      <c r="C194" s="14"/>
      <c r="D194" s="69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x14ac:dyDescent="0.3">
      <c r="A195" s="1"/>
      <c r="B195" s="14"/>
      <c r="C195" s="14"/>
      <c r="D195" s="69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x14ac:dyDescent="0.3">
      <c r="A196" s="1"/>
      <c r="B196" s="14"/>
      <c r="C196" s="14"/>
      <c r="D196" s="69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x14ac:dyDescent="0.3">
      <c r="A197" s="1"/>
      <c r="B197" s="14"/>
      <c r="C197" s="14"/>
      <c r="D197" s="69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x14ac:dyDescent="0.3">
      <c r="A198" s="1"/>
      <c r="B198" s="14"/>
      <c r="C198" s="14"/>
      <c r="D198" s="69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x14ac:dyDescent="0.3">
      <c r="A199" s="1"/>
      <c r="B199" s="14"/>
      <c r="C199" s="14"/>
      <c r="D199" s="69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x14ac:dyDescent="0.3">
      <c r="A200" s="1"/>
      <c r="B200" s="14"/>
      <c r="C200" s="14"/>
      <c r="D200" s="69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x14ac:dyDescent="0.3">
      <c r="A201" s="1"/>
      <c r="B201" s="14"/>
      <c r="C201" s="14"/>
      <c r="D201" s="69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x14ac:dyDescent="0.3">
      <c r="A202" s="1"/>
      <c r="B202" s="14"/>
      <c r="C202" s="14"/>
      <c r="D202" s="69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x14ac:dyDescent="0.3">
      <c r="A203" s="1"/>
      <c r="B203" s="14"/>
      <c r="C203" s="14"/>
      <c r="D203" s="69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x14ac:dyDescent="0.3">
      <c r="A204" s="1"/>
      <c r="B204" s="14"/>
      <c r="C204" s="14"/>
      <c r="D204" s="69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x14ac:dyDescent="0.3">
      <c r="A205" s="1"/>
      <c r="B205" s="14"/>
      <c r="C205" s="14"/>
      <c r="D205" s="69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x14ac:dyDescent="0.3">
      <c r="A206" s="1"/>
      <c r="B206" s="14"/>
      <c r="C206" s="14"/>
      <c r="D206" s="69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x14ac:dyDescent="0.3">
      <c r="A207" s="1"/>
      <c r="B207" s="14"/>
      <c r="C207" s="14"/>
      <c r="D207" s="69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x14ac:dyDescent="0.3">
      <c r="A208" s="1"/>
      <c r="B208" s="14"/>
      <c r="C208" s="14"/>
      <c r="D208" s="69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x14ac:dyDescent="0.3">
      <c r="A209" s="1"/>
      <c r="B209" s="14"/>
      <c r="C209" s="14"/>
      <c r="D209" s="69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x14ac:dyDescent="0.3">
      <c r="A210" s="1"/>
      <c r="B210" s="14"/>
      <c r="C210" s="14"/>
      <c r="D210" s="69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x14ac:dyDescent="0.3">
      <c r="A211" s="1"/>
      <c r="B211" s="14"/>
      <c r="C211" s="14"/>
      <c r="D211" s="69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x14ac:dyDescent="0.3">
      <c r="A212" s="1"/>
      <c r="B212" s="14"/>
      <c r="C212" s="14"/>
      <c r="D212" s="69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x14ac:dyDescent="0.3">
      <c r="A213" s="1"/>
      <c r="B213" s="14"/>
      <c r="C213" s="14"/>
      <c r="D213" s="69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x14ac:dyDescent="0.3">
      <c r="A214" s="1"/>
      <c r="B214" s="14"/>
      <c r="C214" s="14"/>
      <c r="D214" s="69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x14ac:dyDescent="0.3">
      <c r="A215" s="1"/>
      <c r="B215" s="14"/>
      <c r="C215" s="14"/>
      <c r="D215" s="69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x14ac:dyDescent="0.3">
      <c r="A216" s="1"/>
      <c r="B216" s="14"/>
      <c r="C216" s="14"/>
      <c r="D216" s="69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x14ac:dyDescent="0.3">
      <c r="A217" s="1"/>
      <c r="B217" s="14"/>
      <c r="C217" s="14"/>
      <c r="D217" s="69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x14ac:dyDescent="0.3">
      <c r="A218" s="1"/>
      <c r="B218" s="14"/>
      <c r="C218" s="14"/>
      <c r="D218" s="69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x14ac:dyDescent="0.3">
      <c r="A219" s="1"/>
      <c r="B219" s="14"/>
      <c r="C219" s="14"/>
      <c r="D219" s="69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x14ac:dyDescent="0.3">
      <c r="A220" s="1"/>
      <c r="B220" s="14"/>
      <c r="C220" s="14"/>
      <c r="D220" s="69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x14ac:dyDescent="0.3">
      <c r="A221" s="1"/>
      <c r="B221" s="14"/>
      <c r="C221" s="14"/>
      <c r="D221" s="69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x14ac:dyDescent="0.3">
      <c r="A222" s="1"/>
      <c r="B222" s="14"/>
      <c r="C222" s="14"/>
      <c r="D222" s="69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x14ac:dyDescent="0.3">
      <c r="A223" s="1"/>
      <c r="B223" s="14"/>
      <c r="C223" s="14"/>
      <c r="D223" s="69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x14ac:dyDescent="0.3">
      <c r="A224" s="1"/>
      <c r="B224" s="14"/>
      <c r="C224" s="14"/>
      <c r="D224" s="69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x14ac:dyDescent="0.3">
      <c r="A225" s="1"/>
      <c r="B225" s="14"/>
      <c r="C225" s="14"/>
      <c r="D225" s="69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x14ac:dyDescent="0.3">
      <c r="A226" s="1"/>
      <c r="B226" s="14"/>
      <c r="C226" s="14"/>
      <c r="D226" s="69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x14ac:dyDescent="0.3">
      <c r="A227" s="1"/>
      <c r="B227" s="14"/>
      <c r="C227" s="14"/>
      <c r="D227" s="69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x14ac:dyDescent="0.3">
      <c r="A228" s="1"/>
      <c r="B228" s="14"/>
      <c r="C228" s="14"/>
      <c r="D228" s="69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x14ac:dyDescent="0.3">
      <c r="A229" s="1"/>
      <c r="B229" s="14"/>
      <c r="C229" s="14"/>
      <c r="D229" s="69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x14ac:dyDescent="0.3">
      <c r="A230" s="1"/>
      <c r="B230" s="14"/>
      <c r="C230" s="14"/>
      <c r="D230" s="69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x14ac:dyDescent="0.3">
      <c r="A231" s="1"/>
      <c r="B231" s="14"/>
      <c r="C231" s="14"/>
      <c r="D231" s="69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x14ac:dyDescent="0.3">
      <c r="A232" s="1"/>
      <c r="B232" s="14"/>
      <c r="C232" s="14"/>
      <c r="D232" s="69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x14ac:dyDescent="0.3">
      <c r="A233" s="1"/>
      <c r="B233" s="14"/>
      <c r="C233" s="14"/>
      <c r="D233" s="69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x14ac:dyDescent="0.3">
      <c r="A234" s="1"/>
      <c r="B234" s="14"/>
      <c r="C234" s="14"/>
      <c r="D234" s="69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x14ac:dyDescent="0.3">
      <c r="A235" s="1"/>
      <c r="B235" s="14"/>
      <c r="C235" s="14"/>
      <c r="D235" s="69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x14ac:dyDescent="0.3">
      <c r="A236" s="1"/>
      <c r="B236" s="14"/>
      <c r="C236" s="14"/>
      <c r="D236" s="69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x14ac:dyDescent="0.3">
      <c r="A237" s="1"/>
      <c r="B237" s="14"/>
      <c r="C237" s="14"/>
      <c r="D237" s="69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x14ac:dyDescent="0.3">
      <c r="A238" s="1"/>
      <c r="B238" s="14"/>
      <c r="C238" s="14"/>
      <c r="D238" s="69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x14ac:dyDescent="0.3">
      <c r="A239" s="1"/>
      <c r="B239" s="14"/>
      <c r="C239" s="14"/>
      <c r="D239" s="69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x14ac:dyDescent="0.3">
      <c r="A240" s="1"/>
      <c r="B240" s="14"/>
      <c r="C240" s="14"/>
      <c r="D240" s="69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x14ac:dyDescent="0.3">
      <c r="A241" s="1"/>
      <c r="B241" s="14"/>
      <c r="C241" s="14"/>
      <c r="D241" s="69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x14ac:dyDescent="0.3">
      <c r="A242" s="1"/>
      <c r="B242" s="14"/>
      <c r="C242" s="14"/>
      <c r="D242" s="69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x14ac:dyDescent="0.3">
      <c r="A243" s="1"/>
      <c r="B243" s="14"/>
      <c r="C243" s="14"/>
      <c r="D243" s="69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x14ac:dyDescent="0.3">
      <c r="A244" s="1"/>
      <c r="B244" s="14"/>
      <c r="C244" s="14"/>
      <c r="D244" s="69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x14ac:dyDescent="0.3">
      <c r="A245" s="1"/>
      <c r="B245" s="14"/>
      <c r="C245" s="14"/>
      <c r="D245" s="69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x14ac:dyDescent="0.3">
      <c r="A246" s="1"/>
      <c r="B246" s="14"/>
      <c r="C246" s="14"/>
      <c r="D246" s="69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x14ac:dyDescent="0.3">
      <c r="A247" s="1"/>
      <c r="B247" s="14"/>
      <c r="C247" s="14"/>
      <c r="D247" s="69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x14ac:dyDescent="0.3">
      <c r="A248" s="1"/>
      <c r="B248" s="14"/>
      <c r="C248" s="14"/>
      <c r="D248" s="69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x14ac:dyDescent="0.3">
      <c r="A249" s="1"/>
      <c r="B249" s="14"/>
      <c r="C249" s="14"/>
      <c r="D249" s="69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x14ac:dyDescent="0.3">
      <c r="A250" s="1"/>
      <c r="B250" s="14"/>
      <c r="C250" s="14"/>
      <c r="D250" s="69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x14ac:dyDescent="0.3">
      <c r="A251" s="1"/>
      <c r="B251" s="14"/>
      <c r="C251" s="14"/>
      <c r="D251" s="69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x14ac:dyDescent="0.3">
      <c r="A252" s="1"/>
      <c r="B252" s="14"/>
      <c r="C252" s="14"/>
      <c r="D252" s="69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x14ac:dyDescent="0.3">
      <c r="A253" s="1"/>
      <c r="B253" s="14"/>
      <c r="C253" s="14"/>
      <c r="D253" s="69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x14ac:dyDescent="0.3">
      <c r="A254" s="1"/>
      <c r="B254" s="14"/>
      <c r="C254" s="14"/>
      <c r="D254" s="69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x14ac:dyDescent="0.3">
      <c r="A255" s="1"/>
      <c r="B255" s="14"/>
      <c r="C255" s="14"/>
      <c r="D255" s="69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x14ac:dyDescent="0.3">
      <c r="A256" s="1"/>
      <c r="B256" s="14"/>
      <c r="C256" s="14"/>
      <c r="D256" s="69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x14ac:dyDescent="0.3">
      <c r="A257" s="1"/>
      <c r="B257" s="14"/>
      <c r="C257" s="14"/>
      <c r="D257" s="69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x14ac:dyDescent="0.3">
      <c r="A258" s="1"/>
      <c r="B258" s="14"/>
      <c r="C258" s="14"/>
      <c r="D258" s="69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x14ac:dyDescent="0.3">
      <c r="A259" s="1"/>
      <c r="B259" s="14"/>
      <c r="C259" s="14"/>
      <c r="D259" s="69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x14ac:dyDescent="0.3">
      <c r="A260" s="1"/>
      <c r="B260" s="14"/>
      <c r="C260" s="14"/>
      <c r="D260" s="69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x14ac:dyDescent="0.3">
      <c r="A261" s="1"/>
      <c r="B261" s="14"/>
      <c r="C261" s="14"/>
      <c r="D261" s="69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x14ac:dyDescent="0.3">
      <c r="A262" s="1"/>
      <c r="B262" s="14"/>
      <c r="C262" s="14"/>
      <c r="D262" s="69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x14ac:dyDescent="0.3">
      <c r="A263" s="1"/>
      <c r="B263" s="14"/>
      <c r="C263" s="14"/>
      <c r="D263" s="69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x14ac:dyDescent="0.3">
      <c r="A264" s="1"/>
      <c r="B264" s="14"/>
      <c r="C264" s="14"/>
      <c r="D264" s="69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x14ac:dyDescent="0.3">
      <c r="A265" s="1"/>
      <c r="B265" s="14"/>
      <c r="C265" s="14"/>
      <c r="D265" s="69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x14ac:dyDescent="0.3">
      <c r="A266" s="1"/>
      <c r="B266" s="14"/>
      <c r="C266" s="14"/>
      <c r="D266" s="69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x14ac:dyDescent="0.3">
      <c r="A267" s="1"/>
      <c r="B267" s="14"/>
      <c r="C267" s="14"/>
      <c r="D267" s="69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x14ac:dyDescent="0.3">
      <c r="A268" s="1"/>
      <c r="B268" s="14"/>
      <c r="C268" s="14"/>
      <c r="D268" s="69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x14ac:dyDescent="0.3">
      <c r="A269" s="1"/>
      <c r="B269" s="14"/>
      <c r="C269" s="14"/>
      <c r="D269" s="69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x14ac:dyDescent="0.3">
      <c r="A270" s="1"/>
      <c r="B270" s="14"/>
      <c r="C270" s="14"/>
      <c r="D270" s="69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x14ac:dyDescent="0.3">
      <c r="A271" s="1"/>
      <c r="B271" s="14"/>
      <c r="C271" s="14"/>
      <c r="D271" s="69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x14ac:dyDescent="0.3">
      <c r="A272" s="1"/>
      <c r="B272" s="14"/>
      <c r="C272" s="14"/>
      <c r="D272" s="69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x14ac:dyDescent="0.3">
      <c r="A273" s="1"/>
      <c r="B273" s="14"/>
      <c r="C273" s="14"/>
      <c r="D273" s="69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x14ac:dyDescent="0.3">
      <c r="A274" s="1"/>
      <c r="B274" s="14"/>
      <c r="C274" s="14"/>
      <c r="D274" s="69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x14ac:dyDescent="0.3">
      <c r="A275" s="1"/>
      <c r="B275" s="14"/>
      <c r="C275" s="14"/>
      <c r="D275" s="69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x14ac:dyDescent="0.3">
      <c r="A276" s="1"/>
      <c r="B276" s="14"/>
      <c r="C276" s="14"/>
      <c r="D276" s="69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x14ac:dyDescent="0.3">
      <c r="A277" s="1"/>
      <c r="B277" s="14"/>
      <c r="C277" s="14"/>
      <c r="D277" s="69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x14ac:dyDescent="0.3">
      <c r="A278" s="1"/>
      <c r="B278" s="14"/>
      <c r="C278" s="14"/>
      <c r="D278" s="69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x14ac:dyDescent="0.3">
      <c r="A279" s="1"/>
      <c r="B279" s="14"/>
      <c r="C279" s="14"/>
      <c r="D279" s="69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x14ac:dyDescent="0.3">
      <c r="A280" s="1"/>
      <c r="B280" s="14"/>
      <c r="C280" s="14"/>
      <c r="D280" s="69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x14ac:dyDescent="0.3">
      <c r="A281" s="1"/>
      <c r="B281" s="14"/>
      <c r="C281" s="14"/>
      <c r="D281" s="69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x14ac:dyDescent="0.3">
      <c r="A282" s="1"/>
      <c r="B282" s="14"/>
      <c r="C282" s="14"/>
      <c r="D282" s="69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x14ac:dyDescent="0.3">
      <c r="A283" s="1"/>
      <c r="B283" s="14"/>
      <c r="C283" s="14"/>
      <c r="D283" s="69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x14ac:dyDescent="0.3">
      <c r="A284" s="1"/>
      <c r="B284" s="14"/>
      <c r="C284" s="14"/>
      <c r="D284" s="69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x14ac:dyDescent="0.3">
      <c r="A285" s="1"/>
      <c r="B285" s="14"/>
      <c r="C285" s="14"/>
      <c r="D285" s="69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x14ac:dyDescent="0.3">
      <c r="A286" s="1"/>
      <c r="B286" s="14"/>
      <c r="C286" s="14"/>
      <c r="D286" s="69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x14ac:dyDescent="0.3">
      <c r="A287" s="1"/>
      <c r="B287" s="14"/>
      <c r="C287" s="14"/>
      <c r="D287" s="69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x14ac:dyDescent="0.3">
      <c r="A288" s="1"/>
      <c r="B288" s="14"/>
      <c r="C288" s="14"/>
      <c r="D288" s="69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x14ac:dyDescent="0.3">
      <c r="A289" s="1"/>
      <c r="B289" s="14"/>
      <c r="C289" s="14"/>
      <c r="D289" s="69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x14ac:dyDescent="0.3">
      <c r="A290" s="1"/>
      <c r="B290" s="14"/>
      <c r="C290" s="14"/>
      <c r="D290" s="69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x14ac:dyDescent="0.3">
      <c r="A291" s="1"/>
      <c r="B291" s="14"/>
      <c r="C291" s="14"/>
      <c r="D291" s="69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x14ac:dyDescent="0.3">
      <c r="A292" s="1"/>
      <c r="B292" s="14"/>
      <c r="C292" s="14"/>
      <c r="D292" s="69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x14ac:dyDescent="0.3">
      <c r="A293" s="1"/>
      <c r="B293" s="14"/>
      <c r="C293" s="14"/>
      <c r="D293" s="69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x14ac:dyDescent="0.3">
      <c r="A294" s="1"/>
      <c r="B294" s="14"/>
      <c r="C294" s="14"/>
      <c r="D294" s="69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x14ac:dyDescent="0.3">
      <c r="A295" s="1"/>
      <c r="B295" s="14"/>
      <c r="C295" s="14"/>
      <c r="D295" s="69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x14ac:dyDescent="0.3">
      <c r="A296" s="1"/>
      <c r="B296" s="14"/>
      <c r="C296" s="14"/>
      <c r="D296" s="69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x14ac:dyDescent="0.3">
      <c r="A297" s="1"/>
      <c r="B297" s="14"/>
      <c r="C297" s="14"/>
      <c r="D297" s="69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x14ac:dyDescent="0.3">
      <c r="A298" s="1"/>
      <c r="B298" s="14"/>
      <c r="C298" s="14"/>
      <c r="D298" s="69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x14ac:dyDescent="0.3">
      <c r="A299" s="1"/>
      <c r="B299" s="14"/>
      <c r="C299" s="14"/>
      <c r="D299" s="69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x14ac:dyDescent="0.3">
      <c r="A300" s="1"/>
      <c r="B300" s="14"/>
      <c r="C300" s="14"/>
      <c r="D300" s="69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x14ac:dyDescent="0.3">
      <c r="A301" s="1"/>
      <c r="B301" s="14"/>
      <c r="C301" s="14"/>
      <c r="D301" s="69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x14ac:dyDescent="0.3">
      <c r="A302" s="1"/>
      <c r="B302" s="14"/>
      <c r="C302" s="14"/>
      <c r="D302" s="69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x14ac:dyDescent="0.3">
      <c r="A303" s="1"/>
      <c r="B303" s="14"/>
      <c r="C303" s="14"/>
      <c r="D303" s="69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x14ac:dyDescent="0.3">
      <c r="A304" s="1"/>
      <c r="B304" s="14"/>
      <c r="C304" s="14"/>
      <c r="D304" s="69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x14ac:dyDescent="0.3">
      <c r="A305" s="1"/>
      <c r="B305" s="14"/>
      <c r="C305" s="14"/>
      <c r="D305" s="69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x14ac:dyDescent="0.3">
      <c r="A306" s="1"/>
      <c r="B306" s="14"/>
      <c r="C306" s="14"/>
      <c r="D306" s="69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x14ac:dyDescent="0.3">
      <c r="A307" s="1"/>
      <c r="B307" s="14"/>
      <c r="C307" s="14"/>
      <c r="D307" s="69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x14ac:dyDescent="0.3">
      <c r="A308" s="1"/>
      <c r="B308" s="14"/>
      <c r="C308" s="14"/>
      <c r="D308" s="69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x14ac:dyDescent="0.3">
      <c r="A309" s="1"/>
      <c r="B309" s="14"/>
      <c r="C309" s="14"/>
      <c r="D309" s="69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x14ac:dyDescent="0.3">
      <c r="A310" s="1"/>
      <c r="B310" s="14"/>
      <c r="C310" s="14"/>
      <c r="D310" s="69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x14ac:dyDescent="0.3">
      <c r="A311" s="1"/>
      <c r="B311" s="14"/>
      <c r="C311" s="14"/>
      <c r="D311" s="69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x14ac:dyDescent="0.3">
      <c r="A312" s="1"/>
      <c r="B312" s="14"/>
      <c r="C312" s="14"/>
      <c r="D312" s="69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x14ac:dyDescent="0.3">
      <c r="A313" s="1"/>
      <c r="B313" s="14"/>
      <c r="C313" s="14"/>
      <c r="D313" s="69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x14ac:dyDescent="0.3">
      <c r="A314" s="1"/>
      <c r="B314" s="14"/>
      <c r="C314" s="14"/>
      <c r="D314" s="69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x14ac:dyDescent="0.3">
      <c r="A315" s="1"/>
      <c r="B315" s="14"/>
      <c r="C315" s="14"/>
      <c r="D315" s="69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x14ac:dyDescent="0.3">
      <c r="A316" s="1"/>
      <c r="B316" s="14"/>
      <c r="C316" s="14"/>
      <c r="D316" s="69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x14ac:dyDescent="0.3">
      <c r="A317" s="1"/>
      <c r="B317" s="14"/>
      <c r="C317" s="14"/>
      <c r="D317" s="69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x14ac:dyDescent="0.3">
      <c r="A318" s="1"/>
      <c r="B318" s="14"/>
      <c r="C318" s="14"/>
      <c r="D318" s="69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x14ac:dyDescent="0.3">
      <c r="A319" s="1"/>
      <c r="B319" s="14"/>
      <c r="C319" s="14"/>
      <c r="D319" s="69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x14ac:dyDescent="0.3">
      <c r="A320" s="1"/>
      <c r="B320" s="14"/>
      <c r="C320" s="14"/>
      <c r="D320" s="69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x14ac:dyDescent="0.3">
      <c r="A321" s="1"/>
      <c r="B321" s="14"/>
      <c r="C321" s="14"/>
      <c r="D321" s="69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x14ac:dyDescent="0.3">
      <c r="A322" s="1"/>
      <c r="B322" s="14"/>
      <c r="C322" s="14"/>
      <c r="D322" s="69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x14ac:dyDescent="0.3">
      <c r="A323" s="1"/>
      <c r="B323" s="14"/>
      <c r="C323" s="14"/>
      <c r="D323" s="69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x14ac:dyDescent="0.3">
      <c r="A324" s="1"/>
      <c r="B324" s="14"/>
      <c r="C324" s="14"/>
      <c r="D324" s="69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x14ac:dyDescent="0.3">
      <c r="A325" s="1"/>
      <c r="B325" s="14"/>
      <c r="C325" s="14"/>
      <c r="D325" s="69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x14ac:dyDescent="0.3">
      <c r="A326" s="1"/>
      <c r="B326" s="14"/>
      <c r="C326" s="14"/>
      <c r="D326" s="69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x14ac:dyDescent="0.3">
      <c r="A327" s="1"/>
      <c r="B327" s="14"/>
      <c r="C327" s="14"/>
      <c r="D327" s="69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x14ac:dyDescent="0.3">
      <c r="A328" s="1"/>
      <c r="B328" s="14"/>
      <c r="C328" s="14"/>
      <c r="D328" s="69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x14ac:dyDescent="0.3">
      <c r="A329" s="1"/>
      <c r="B329" s="14"/>
      <c r="C329" s="14"/>
      <c r="D329" s="69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x14ac:dyDescent="0.3">
      <c r="A330" s="1"/>
      <c r="B330" s="14"/>
      <c r="C330" s="14"/>
      <c r="D330" s="69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x14ac:dyDescent="0.3">
      <c r="A331" s="1"/>
      <c r="B331" s="14"/>
      <c r="C331" s="14"/>
      <c r="D331" s="69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x14ac:dyDescent="0.3">
      <c r="A332" s="1"/>
      <c r="B332" s="14"/>
      <c r="C332" s="14"/>
      <c r="D332" s="69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x14ac:dyDescent="0.3">
      <c r="A333" s="1"/>
      <c r="B333" s="14"/>
      <c r="C333" s="14"/>
      <c r="D333" s="69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x14ac:dyDescent="0.3">
      <c r="A334" s="1"/>
      <c r="B334" s="14"/>
      <c r="C334" s="14"/>
      <c r="D334" s="69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x14ac:dyDescent="0.3">
      <c r="A335" s="1"/>
      <c r="B335" s="14"/>
      <c r="C335" s="14"/>
      <c r="D335" s="69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x14ac:dyDescent="0.3">
      <c r="A336" s="1"/>
      <c r="B336" s="14"/>
      <c r="C336" s="14"/>
      <c r="D336" s="69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x14ac:dyDescent="0.3">
      <c r="A337" s="1"/>
      <c r="B337" s="14"/>
      <c r="C337" s="14"/>
      <c r="D337" s="69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x14ac:dyDescent="0.3">
      <c r="A338" s="1"/>
      <c r="B338" s="14"/>
      <c r="C338" s="14"/>
      <c r="D338" s="69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x14ac:dyDescent="0.3">
      <c r="A339" s="1"/>
      <c r="B339" s="14"/>
      <c r="C339" s="14"/>
      <c r="D339" s="69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x14ac:dyDescent="0.3">
      <c r="A340" s="1"/>
      <c r="B340" s="14"/>
      <c r="C340" s="14"/>
      <c r="D340" s="69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x14ac:dyDescent="0.3">
      <c r="A341" s="1"/>
      <c r="B341" s="14"/>
      <c r="C341" s="14"/>
      <c r="D341" s="69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x14ac:dyDescent="0.3">
      <c r="A342" s="1"/>
      <c r="B342" s="14"/>
      <c r="C342" s="14"/>
      <c r="D342" s="69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x14ac:dyDescent="0.3">
      <c r="A343" s="1"/>
      <c r="B343" s="14"/>
      <c r="C343" s="14"/>
      <c r="D343" s="69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x14ac:dyDescent="0.3">
      <c r="A344" s="1"/>
      <c r="B344" s="14"/>
      <c r="C344" s="14"/>
      <c r="D344" s="69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x14ac:dyDescent="0.3">
      <c r="A345" s="1"/>
      <c r="B345" s="14"/>
      <c r="C345" s="14"/>
      <c r="D345" s="69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x14ac:dyDescent="0.3">
      <c r="A346" s="1"/>
      <c r="B346" s="14"/>
      <c r="C346" s="14"/>
      <c r="D346" s="69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x14ac:dyDescent="0.3">
      <c r="A347" s="1"/>
      <c r="B347" s="14"/>
      <c r="C347" s="14"/>
      <c r="D347" s="69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x14ac:dyDescent="0.3">
      <c r="A348" s="1"/>
      <c r="B348" s="14"/>
      <c r="C348" s="14"/>
      <c r="D348" s="69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x14ac:dyDescent="0.3">
      <c r="A349" s="1"/>
      <c r="B349" s="14"/>
      <c r="C349" s="14"/>
      <c r="D349" s="69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x14ac:dyDescent="0.3">
      <c r="A350" s="1"/>
      <c r="B350" s="14"/>
      <c r="C350" s="14"/>
      <c r="D350" s="69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x14ac:dyDescent="0.3">
      <c r="A351" s="1"/>
      <c r="B351" s="14"/>
      <c r="C351" s="14"/>
      <c r="D351" s="69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x14ac:dyDescent="0.3">
      <c r="A352" s="1"/>
      <c r="B352" s="14"/>
      <c r="C352" s="14"/>
      <c r="D352" s="69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x14ac:dyDescent="0.3">
      <c r="A353" s="1"/>
      <c r="B353" s="14"/>
      <c r="C353" s="14"/>
      <c r="D353" s="69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x14ac:dyDescent="0.3">
      <c r="A354" s="1"/>
      <c r="B354" s="14"/>
      <c r="C354" s="14"/>
      <c r="D354" s="69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x14ac:dyDescent="0.3">
      <c r="A355" s="1"/>
      <c r="B355" s="14"/>
      <c r="C355" s="14"/>
      <c r="D355" s="69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x14ac:dyDescent="0.3">
      <c r="A356" s="1"/>
      <c r="B356" s="14"/>
      <c r="C356" s="14"/>
      <c r="D356" s="69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x14ac:dyDescent="0.3">
      <c r="A357" s="1"/>
      <c r="B357" s="14"/>
      <c r="C357" s="14"/>
      <c r="D357" s="69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x14ac:dyDescent="0.3">
      <c r="A358" s="1"/>
      <c r="B358" s="14"/>
      <c r="C358" s="14"/>
      <c r="D358" s="69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x14ac:dyDescent="0.3">
      <c r="A359" s="1"/>
      <c r="B359" s="14"/>
      <c r="C359" s="14"/>
      <c r="D359" s="69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x14ac:dyDescent="0.3">
      <c r="A360" s="1"/>
      <c r="B360" s="14"/>
      <c r="C360" s="14"/>
      <c r="D360" s="69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x14ac:dyDescent="0.3">
      <c r="A361" s="1"/>
      <c r="B361" s="14"/>
      <c r="C361" s="14"/>
      <c r="D361" s="69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x14ac:dyDescent="0.3">
      <c r="A362" s="1"/>
      <c r="B362" s="14"/>
      <c r="C362" s="14"/>
      <c r="D362" s="69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x14ac:dyDescent="0.3">
      <c r="A363" s="1"/>
      <c r="B363" s="14"/>
      <c r="C363" s="14"/>
      <c r="D363" s="69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x14ac:dyDescent="0.3">
      <c r="A364" s="1"/>
      <c r="B364" s="14"/>
      <c r="C364" s="14"/>
      <c r="D364" s="69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x14ac:dyDescent="0.3">
      <c r="A365" s="1"/>
      <c r="B365" s="14"/>
      <c r="C365" s="14"/>
      <c r="D365" s="69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x14ac:dyDescent="0.3">
      <c r="A366" s="1"/>
      <c r="B366" s="14"/>
      <c r="C366" s="14"/>
      <c r="D366" s="69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x14ac:dyDescent="0.3">
      <c r="A367" s="1"/>
      <c r="B367" s="14"/>
      <c r="C367" s="14"/>
      <c r="D367" s="69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x14ac:dyDescent="0.3">
      <c r="A368" s="1"/>
      <c r="B368" s="14"/>
      <c r="C368" s="14"/>
      <c r="D368" s="69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x14ac:dyDescent="0.3">
      <c r="A369" s="1"/>
      <c r="B369" s="14"/>
      <c r="C369" s="14"/>
      <c r="D369" s="69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x14ac:dyDescent="0.3">
      <c r="A370" s="1"/>
      <c r="B370" s="14"/>
      <c r="C370" s="14"/>
      <c r="D370" s="69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x14ac:dyDescent="0.3">
      <c r="A371" s="1"/>
      <c r="B371" s="14"/>
      <c r="C371" s="14"/>
      <c r="D371" s="69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x14ac:dyDescent="0.3">
      <c r="A372" s="1"/>
      <c r="B372" s="14"/>
      <c r="C372" s="14"/>
      <c r="D372" s="69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x14ac:dyDescent="0.3">
      <c r="A373" s="1"/>
      <c r="B373" s="14"/>
      <c r="C373" s="14"/>
      <c r="D373" s="69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x14ac:dyDescent="0.3">
      <c r="A374" s="1"/>
      <c r="B374" s="14"/>
      <c r="C374" s="14"/>
      <c r="D374" s="69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x14ac:dyDescent="0.3">
      <c r="A375" s="1"/>
      <c r="B375" s="14"/>
      <c r="C375" s="14"/>
      <c r="D375" s="69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x14ac:dyDescent="0.3">
      <c r="A376" s="1"/>
      <c r="B376" s="14"/>
      <c r="C376" s="14"/>
      <c r="D376" s="69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x14ac:dyDescent="0.3">
      <c r="A377" s="1"/>
      <c r="B377" s="14"/>
      <c r="C377" s="14"/>
      <c r="D377" s="69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x14ac:dyDescent="0.3">
      <c r="A378" s="1"/>
      <c r="B378" s="14"/>
      <c r="C378" s="14"/>
      <c r="D378" s="69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x14ac:dyDescent="0.3">
      <c r="A379" s="1"/>
      <c r="B379" s="14"/>
      <c r="C379" s="14"/>
      <c r="D379" s="69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x14ac:dyDescent="0.3">
      <c r="A380" s="1"/>
      <c r="B380" s="14"/>
      <c r="C380" s="14"/>
      <c r="D380" s="69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x14ac:dyDescent="0.3">
      <c r="A381" s="1"/>
      <c r="B381" s="14"/>
      <c r="C381" s="14"/>
      <c r="D381" s="69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x14ac:dyDescent="0.3">
      <c r="A382" s="1"/>
      <c r="B382" s="14"/>
      <c r="C382" s="14"/>
      <c r="D382" s="69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x14ac:dyDescent="0.3">
      <c r="A383" s="1"/>
      <c r="B383" s="14"/>
      <c r="C383" s="14"/>
      <c r="D383" s="69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x14ac:dyDescent="0.3">
      <c r="A384" s="1"/>
      <c r="B384" s="14"/>
      <c r="C384" s="14"/>
      <c r="D384" s="69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x14ac:dyDescent="0.3">
      <c r="A385" s="1"/>
      <c r="B385" s="14"/>
      <c r="C385" s="14"/>
      <c r="D385" s="69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x14ac:dyDescent="0.3">
      <c r="A386" s="1"/>
      <c r="B386" s="14"/>
      <c r="C386" s="14"/>
      <c r="D386" s="69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x14ac:dyDescent="0.3">
      <c r="A387" s="1"/>
      <c r="B387" s="14"/>
      <c r="C387" s="14"/>
      <c r="D387" s="69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x14ac:dyDescent="0.3">
      <c r="A388" s="1"/>
      <c r="B388" s="14"/>
      <c r="C388" s="14"/>
      <c r="D388" s="69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x14ac:dyDescent="0.3">
      <c r="A389" s="1"/>
      <c r="B389" s="14"/>
      <c r="C389" s="14"/>
      <c r="D389" s="69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x14ac:dyDescent="0.3">
      <c r="A390" s="1"/>
      <c r="B390" s="14"/>
      <c r="C390" s="14"/>
      <c r="D390" s="69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x14ac:dyDescent="0.3">
      <c r="A391" s="1"/>
      <c r="B391" s="14"/>
      <c r="C391" s="14"/>
      <c r="D391" s="69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x14ac:dyDescent="0.3">
      <c r="A392" s="1"/>
      <c r="B392" s="14"/>
      <c r="C392" s="14"/>
      <c r="D392" s="69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x14ac:dyDescent="0.3">
      <c r="A393" s="1"/>
      <c r="B393" s="14"/>
      <c r="C393" s="14"/>
      <c r="D393" s="69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x14ac:dyDescent="0.3">
      <c r="A394" s="1"/>
      <c r="B394" s="14"/>
      <c r="C394" s="14"/>
      <c r="D394" s="69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x14ac:dyDescent="0.3">
      <c r="A395" s="1"/>
      <c r="B395" s="14"/>
      <c r="C395" s="14"/>
      <c r="D395" s="69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x14ac:dyDescent="0.3">
      <c r="A396" s="1"/>
      <c r="B396" s="14"/>
      <c r="C396" s="14"/>
      <c r="D396" s="69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x14ac:dyDescent="0.3">
      <c r="A397" s="1"/>
      <c r="B397" s="14"/>
      <c r="C397" s="14"/>
      <c r="D397" s="69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x14ac:dyDescent="0.3">
      <c r="A398" s="1"/>
      <c r="B398" s="14"/>
      <c r="C398" s="14"/>
      <c r="D398" s="69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x14ac:dyDescent="0.3">
      <c r="A399" s="1"/>
      <c r="B399" s="14"/>
      <c r="C399" s="14"/>
      <c r="D399" s="69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x14ac:dyDescent="0.3">
      <c r="A400" s="1"/>
      <c r="B400" s="14"/>
      <c r="C400" s="14"/>
      <c r="D400" s="69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x14ac:dyDescent="0.3">
      <c r="A401" s="1"/>
      <c r="B401" s="14"/>
      <c r="C401" s="14"/>
      <c r="D401" s="69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x14ac:dyDescent="0.3">
      <c r="A402" s="1"/>
      <c r="B402" s="14"/>
      <c r="C402" s="14"/>
      <c r="D402" s="69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x14ac:dyDescent="0.3">
      <c r="A403" s="1"/>
      <c r="B403" s="14"/>
      <c r="C403" s="14"/>
      <c r="D403" s="69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x14ac:dyDescent="0.3">
      <c r="A404" s="1"/>
      <c r="B404" s="14"/>
      <c r="C404" s="14"/>
      <c r="D404" s="69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x14ac:dyDescent="0.3">
      <c r="A405" s="1"/>
      <c r="B405" s="14"/>
      <c r="C405" s="14"/>
      <c r="D405" s="69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x14ac:dyDescent="0.3">
      <c r="A406" s="1"/>
      <c r="B406" s="14"/>
      <c r="C406" s="14"/>
      <c r="D406" s="69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x14ac:dyDescent="0.3">
      <c r="A407" s="1"/>
      <c r="B407" s="14"/>
      <c r="C407" s="14"/>
      <c r="D407" s="69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x14ac:dyDescent="0.3">
      <c r="A408" s="1"/>
      <c r="B408" s="14"/>
      <c r="C408" s="14"/>
      <c r="D408" s="69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x14ac:dyDescent="0.3">
      <c r="A409" s="1"/>
      <c r="B409" s="14"/>
      <c r="C409" s="14"/>
      <c r="D409" s="69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x14ac:dyDescent="0.3">
      <c r="A410" s="1"/>
      <c r="B410" s="14"/>
      <c r="C410" s="14"/>
      <c r="D410" s="69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x14ac:dyDescent="0.3">
      <c r="A411" s="1"/>
      <c r="B411" s="14"/>
      <c r="C411" s="14"/>
      <c r="D411" s="69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x14ac:dyDescent="0.3">
      <c r="A412" s="1"/>
      <c r="B412" s="14"/>
      <c r="C412" s="14"/>
      <c r="D412" s="69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x14ac:dyDescent="0.3">
      <c r="A413" s="1"/>
      <c r="B413" s="14"/>
      <c r="C413" s="14"/>
      <c r="D413" s="69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x14ac:dyDescent="0.3">
      <c r="A414" s="1"/>
      <c r="B414" s="14"/>
      <c r="C414" s="14"/>
      <c r="D414" s="69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x14ac:dyDescent="0.3">
      <c r="A415" s="1"/>
      <c r="B415" s="14"/>
      <c r="C415" s="14"/>
      <c r="D415" s="69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x14ac:dyDescent="0.3">
      <c r="A416" s="1"/>
      <c r="B416" s="14"/>
      <c r="C416" s="14"/>
      <c r="D416" s="69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x14ac:dyDescent="0.3">
      <c r="A417" s="1"/>
      <c r="B417" s="14"/>
      <c r="C417" s="14"/>
      <c r="D417" s="69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x14ac:dyDescent="0.3">
      <c r="A418" s="1"/>
      <c r="B418" s="14"/>
      <c r="C418" s="14"/>
      <c r="D418" s="69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x14ac:dyDescent="0.3">
      <c r="A419" s="1"/>
      <c r="B419" s="14"/>
      <c r="C419" s="14"/>
      <c r="D419" s="69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x14ac:dyDescent="0.3">
      <c r="A420" s="1"/>
      <c r="B420" s="14"/>
      <c r="C420" s="14"/>
      <c r="D420" s="69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x14ac:dyDescent="0.3">
      <c r="A421" s="1"/>
      <c r="B421" s="14"/>
      <c r="C421" s="14"/>
      <c r="D421" s="69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x14ac:dyDescent="0.3">
      <c r="A422" s="1"/>
      <c r="B422" s="14"/>
      <c r="C422" s="14"/>
      <c r="D422" s="69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x14ac:dyDescent="0.3">
      <c r="A423" s="1"/>
      <c r="B423" s="14"/>
      <c r="C423" s="14"/>
      <c r="D423" s="69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x14ac:dyDescent="0.3">
      <c r="A424" s="1"/>
      <c r="B424" s="14"/>
      <c r="C424" s="14"/>
      <c r="D424" s="69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x14ac:dyDescent="0.3">
      <c r="A425" s="1"/>
      <c r="B425" s="14"/>
      <c r="C425" s="14"/>
      <c r="D425" s="69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x14ac:dyDescent="0.3">
      <c r="A426" s="1"/>
      <c r="B426" s="14"/>
      <c r="C426" s="14"/>
      <c r="D426" s="69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x14ac:dyDescent="0.3">
      <c r="A427" s="1"/>
      <c r="B427" s="14"/>
      <c r="C427" s="14"/>
      <c r="D427" s="69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x14ac:dyDescent="0.3">
      <c r="A428" s="1"/>
      <c r="B428" s="14"/>
      <c r="C428" s="14"/>
      <c r="D428" s="69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x14ac:dyDescent="0.3">
      <c r="A429" s="1"/>
      <c r="B429" s="14"/>
      <c r="C429" s="14"/>
      <c r="D429" s="69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x14ac:dyDescent="0.3">
      <c r="A430" s="1"/>
      <c r="B430" s="14"/>
      <c r="C430" s="14"/>
      <c r="D430" s="69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x14ac:dyDescent="0.3">
      <c r="A431" s="1"/>
      <c r="B431" s="14"/>
      <c r="C431" s="14"/>
      <c r="D431" s="69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x14ac:dyDescent="0.3">
      <c r="A432" s="1"/>
      <c r="B432" s="14"/>
      <c r="C432" s="14"/>
      <c r="D432" s="69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x14ac:dyDescent="0.3">
      <c r="A433" s="1"/>
      <c r="B433" s="14"/>
      <c r="C433" s="14"/>
      <c r="D433" s="69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x14ac:dyDescent="0.3">
      <c r="A434" s="1"/>
      <c r="B434" s="14"/>
      <c r="C434" s="14"/>
      <c r="D434" s="69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x14ac:dyDescent="0.3">
      <c r="A435" s="1"/>
      <c r="B435" s="14"/>
      <c r="C435" s="14"/>
      <c r="D435" s="69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x14ac:dyDescent="0.3">
      <c r="A436" s="1"/>
      <c r="B436" s="14"/>
      <c r="C436" s="14"/>
      <c r="D436" s="69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x14ac:dyDescent="0.3">
      <c r="A437" s="1"/>
      <c r="B437" s="14"/>
      <c r="C437" s="14"/>
      <c r="D437" s="69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x14ac:dyDescent="0.3">
      <c r="A438" s="1"/>
      <c r="B438" s="14"/>
      <c r="C438" s="14"/>
      <c r="D438" s="69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x14ac:dyDescent="0.3">
      <c r="A439" s="1"/>
      <c r="B439" s="14"/>
      <c r="C439" s="14"/>
      <c r="D439" s="69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x14ac:dyDescent="0.3">
      <c r="A440" s="1"/>
      <c r="B440" s="14"/>
      <c r="C440" s="14"/>
      <c r="D440" s="69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x14ac:dyDescent="0.3">
      <c r="A441" s="1"/>
      <c r="B441" s="14"/>
      <c r="C441" s="14"/>
      <c r="D441" s="69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x14ac:dyDescent="0.3">
      <c r="A442" s="1"/>
      <c r="B442" s="14"/>
      <c r="C442" s="14"/>
      <c r="D442" s="69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x14ac:dyDescent="0.3">
      <c r="A443" s="1"/>
      <c r="B443" s="14"/>
      <c r="C443" s="14"/>
      <c r="D443" s="69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x14ac:dyDescent="0.3">
      <c r="A444" s="1"/>
      <c r="B444" s="14"/>
      <c r="C444" s="14"/>
      <c r="D444" s="69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x14ac:dyDescent="0.3">
      <c r="A445" s="1"/>
      <c r="B445" s="14"/>
      <c r="C445" s="14"/>
      <c r="D445" s="69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x14ac:dyDescent="0.3">
      <c r="A446" s="1"/>
      <c r="B446" s="14"/>
      <c r="C446" s="14"/>
      <c r="D446" s="69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x14ac:dyDescent="0.3">
      <c r="A447" s="1"/>
      <c r="B447" s="14"/>
      <c r="C447" s="14"/>
      <c r="D447" s="69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x14ac:dyDescent="0.3">
      <c r="A448" s="1"/>
      <c r="B448" s="14"/>
      <c r="C448" s="14"/>
      <c r="D448" s="69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x14ac:dyDescent="0.3">
      <c r="A449" s="1"/>
      <c r="B449" s="14"/>
      <c r="C449" s="14"/>
      <c r="D449" s="69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x14ac:dyDescent="0.3">
      <c r="A450" s="1"/>
      <c r="B450" s="14"/>
      <c r="C450" s="14"/>
      <c r="D450" s="69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x14ac:dyDescent="0.3">
      <c r="A451" s="1"/>
      <c r="B451" s="14"/>
      <c r="C451" s="14"/>
      <c r="D451" s="69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x14ac:dyDescent="0.3">
      <c r="A452" s="1"/>
      <c r="B452" s="14"/>
      <c r="C452" s="14"/>
      <c r="D452" s="69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x14ac:dyDescent="0.3">
      <c r="A453" s="1"/>
      <c r="B453" s="14"/>
      <c r="C453" s="14"/>
      <c r="D453" s="69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x14ac:dyDescent="0.3">
      <c r="A454" s="1"/>
      <c r="B454" s="14"/>
      <c r="C454" s="14"/>
      <c r="D454" s="69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x14ac:dyDescent="0.3">
      <c r="A455" s="1"/>
      <c r="B455" s="14"/>
      <c r="C455" s="14"/>
      <c r="D455" s="69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x14ac:dyDescent="0.3">
      <c r="A456" s="1"/>
      <c r="B456" s="14"/>
      <c r="C456" s="14"/>
      <c r="D456" s="69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x14ac:dyDescent="0.3">
      <c r="A457" s="1"/>
      <c r="B457" s="14"/>
      <c r="C457" s="14"/>
      <c r="D457" s="69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x14ac:dyDescent="0.3">
      <c r="A458" s="1"/>
      <c r="B458" s="14"/>
      <c r="C458" s="14"/>
      <c r="D458" s="69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x14ac:dyDescent="0.3">
      <c r="A459" s="1"/>
      <c r="B459" s="14"/>
      <c r="C459" s="14"/>
      <c r="D459" s="69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x14ac:dyDescent="0.3">
      <c r="A460" s="1"/>
      <c r="B460" s="14"/>
      <c r="C460" s="14"/>
      <c r="D460" s="69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x14ac:dyDescent="0.3">
      <c r="A461" s="1"/>
      <c r="B461" s="14"/>
      <c r="C461" s="14"/>
      <c r="D461" s="69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x14ac:dyDescent="0.3">
      <c r="A462" s="1"/>
      <c r="B462" s="14"/>
      <c r="C462" s="14"/>
      <c r="D462" s="69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x14ac:dyDescent="0.3">
      <c r="A463" s="1"/>
      <c r="B463" s="14"/>
      <c r="C463" s="14"/>
      <c r="D463" s="69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x14ac:dyDescent="0.3">
      <c r="A464" s="1"/>
      <c r="B464" s="14"/>
      <c r="C464" s="14"/>
      <c r="D464" s="69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x14ac:dyDescent="0.3">
      <c r="A465" s="1"/>
      <c r="B465" s="14"/>
      <c r="C465" s="14"/>
      <c r="D465" s="69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x14ac:dyDescent="0.3">
      <c r="A466" s="1"/>
      <c r="B466" s="14"/>
      <c r="C466" s="14"/>
      <c r="D466" s="69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x14ac:dyDescent="0.3">
      <c r="A467" s="1"/>
      <c r="B467" s="14"/>
      <c r="C467" s="14"/>
      <c r="D467" s="69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x14ac:dyDescent="0.3">
      <c r="A468" s="1"/>
      <c r="B468" s="14"/>
      <c r="C468" s="14"/>
      <c r="D468" s="69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x14ac:dyDescent="0.3">
      <c r="A469" s="1"/>
      <c r="B469" s="14"/>
      <c r="C469" s="14"/>
      <c r="D469" s="69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x14ac:dyDescent="0.3">
      <c r="A470" s="1"/>
      <c r="B470" s="14"/>
      <c r="C470" s="14"/>
      <c r="D470" s="69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x14ac:dyDescent="0.3">
      <c r="A471" s="1"/>
      <c r="B471" s="14"/>
      <c r="C471" s="14"/>
      <c r="D471" s="69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x14ac:dyDescent="0.3">
      <c r="A472" s="1"/>
      <c r="B472" s="14"/>
      <c r="C472" s="14"/>
      <c r="D472" s="69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x14ac:dyDescent="0.3">
      <c r="A473" s="1"/>
      <c r="B473" s="14"/>
      <c r="C473" s="14"/>
      <c r="D473" s="69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x14ac:dyDescent="0.3">
      <c r="A474" s="1"/>
      <c r="B474" s="14"/>
      <c r="C474" s="14"/>
      <c r="D474" s="69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x14ac:dyDescent="0.3">
      <c r="A475" s="1"/>
      <c r="B475" s="14"/>
      <c r="C475" s="14"/>
      <c r="D475" s="69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x14ac:dyDescent="0.3">
      <c r="A476" s="1"/>
      <c r="B476" s="14"/>
      <c r="C476" s="14"/>
      <c r="D476" s="69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x14ac:dyDescent="0.3">
      <c r="A477" s="1"/>
      <c r="B477" s="14"/>
      <c r="C477" s="14"/>
      <c r="D477" s="69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x14ac:dyDescent="0.3">
      <c r="A478" s="1"/>
      <c r="B478" s="14"/>
      <c r="C478" s="14"/>
      <c r="D478" s="69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x14ac:dyDescent="0.3">
      <c r="A479" s="1"/>
      <c r="B479" s="14"/>
      <c r="C479" s="14"/>
      <c r="D479" s="69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x14ac:dyDescent="0.3">
      <c r="A480" s="1"/>
      <c r="B480" s="14"/>
      <c r="C480" s="14"/>
      <c r="D480" s="69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x14ac:dyDescent="0.3">
      <c r="A481" s="1"/>
      <c r="B481" s="14"/>
      <c r="C481" s="14"/>
      <c r="D481" s="69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x14ac:dyDescent="0.3">
      <c r="A482" s="1"/>
      <c r="B482" s="14"/>
      <c r="C482" s="14"/>
      <c r="D482" s="69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x14ac:dyDescent="0.3">
      <c r="A483" s="1"/>
      <c r="B483" s="14"/>
      <c r="C483" s="14"/>
      <c r="D483" s="69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x14ac:dyDescent="0.3">
      <c r="A484" s="1"/>
      <c r="B484" s="14"/>
      <c r="C484" s="14"/>
      <c r="D484" s="69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x14ac:dyDescent="0.3">
      <c r="A485" s="1"/>
      <c r="B485" s="14"/>
      <c r="C485" s="14"/>
      <c r="D485" s="69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x14ac:dyDescent="0.3">
      <c r="A486" s="1"/>
      <c r="B486" s="14"/>
      <c r="C486" s="14"/>
      <c r="D486" s="69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x14ac:dyDescent="0.3">
      <c r="A487" s="1"/>
      <c r="B487" s="14"/>
      <c r="C487" s="14"/>
      <c r="D487" s="69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x14ac:dyDescent="0.3">
      <c r="A488" s="1"/>
      <c r="B488" s="14"/>
      <c r="C488" s="14"/>
      <c r="D488" s="69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x14ac:dyDescent="0.3">
      <c r="A489" s="1"/>
      <c r="B489" s="14"/>
      <c r="C489" s="14"/>
      <c r="D489" s="69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x14ac:dyDescent="0.3">
      <c r="A490" s="1"/>
      <c r="B490" s="14"/>
      <c r="C490" s="14"/>
      <c r="D490" s="69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x14ac:dyDescent="0.3">
      <c r="A491" s="1"/>
      <c r="B491" s="14"/>
      <c r="C491" s="14"/>
      <c r="D491" s="69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x14ac:dyDescent="0.3">
      <c r="A492" s="1"/>
      <c r="B492" s="14"/>
      <c r="C492" s="14"/>
      <c r="D492" s="69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x14ac:dyDescent="0.3">
      <c r="A493" s="1"/>
      <c r="B493" s="14"/>
      <c r="C493" s="14"/>
      <c r="D493" s="69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x14ac:dyDescent="0.3">
      <c r="A494" s="1"/>
      <c r="B494" s="14"/>
      <c r="C494" s="14"/>
      <c r="D494" s="69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x14ac:dyDescent="0.3">
      <c r="A495" s="1"/>
      <c r="B495" s="14"/>
      <c r="C495" s="14"/>
      <c r="D495" s="69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x14ac:dyDescent="0.3">
      <c r="A496" s="1"/>
      <c r="B496" s="14"/>
      <c r="C496" s="14"/>
      <c r="D496" s="69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x14ac:dyDescent="0.3">
      <c r="A497" s="1"/>
      <c r="B497" s="14"/>
      <c r="C497" s="14"/>
      <c r="D497" s="69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x14ac:dyDescent="0.3">
      <c r="A498" s="1"/>
      <c r="B498" s="14"/>
      <c r="C498" s="14"/>
      <c r="D498" s="69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x14ac:dyDescent="0.3">
      <c r="A499" s="1"/>
      <c r="B499" s="14"/>
      <c r="C499" s="14"/>
      <c r="D499" s="69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x14ac:dyDescent="0.3">
      <c r="A500" s="1"/>
      <c r="B500" s="14"/>
      <c r="C500" s="14"/>
      <c r="D500" s="69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x14ac:dyDescent="0.3">
      <c r="A501" s="1"/>
      <c r="B501" s="14"/>
      <c r="C501" s="14"/>
      <c r="D501" s="69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x14ac:dyDescent="0.3">
      <c r="A502" s="1"/>
      <c r="B502" s="14"/>
      <c r="C502" s="14"/>
      <c r="D502" s="69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x14ac:dyDescent="0.3">
      <c r="A503" s="1"/>
      <c r="B503" s="14"/>
      <c r="C503" s="14"/>
      <c r="D503" s="69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x14ac:dyDescent="0.3">
      <c r="A504" s="1"/>
      <c r="B504" s="14"/>
      <c r="C504" s="14"/>
      <c r="D504" s="69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x14ac:dyDescent="0.3">
      <c r="A505" s="1"/>
      <c r="B505" s="14"/>
      <c r="C505" s="14"/>
      <c r="D505" s="69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x14ac:dyDescent="0.3">
      <c r="A506" s="1"/>
      <c r="B506" s="14"/>
      <c r="C506" s="14"/>
      <c r="D506" s="69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x14ac:dyDescent="0.3">
      <c r="A507" s="1"/>
      <c r="B507" s="14"/>
      <c r="C507" s="14"/>
      <c r="D507" s="69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x14ac:dyDescent="0.3">
      <c r="A508" s="1"/>
      <c r="B508" s="14"/>
      <c r="C508" s="14"/>
      <c r="D508" s="69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x14ac:dyDescent="0.3">
      <c r="A509" s="1"/>
      <c r="B509" s="14"/>
      <c r="C509" s="14"/>
      <c r="D509" s="69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x14ac:dyDescent="0.3">
      <c r="A510" s="1"/>
      <c r="B510" s="14"/>
      <c r="C510" s="14"/>
      <c r="D510" s="69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x14ac:dyDescent="0.3">
      <c r="A511" s="1"/>
      <c r="B511" s="14"/>
      <c r="C511" s="14"/>
      <c r="D511" s="69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x14ac:dyDescent="0.3">
      <c r="A512" s="1"/>
      <c r="B512" s="14"/>
      <c r="C512" s="14"/>
      <c r="D512" s="69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x14ac:dyDescent="0.3">
      <c r="A513" s="1"/>
      <c r="B513" s="14"/>
      <c r="C513" s="14"/>
      <c r="D513" s="69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x14ac:dyDescent="0.3">
      <c r="A514" s="1"/>
      <c r="B514" s="14"/>
      <c r="C514" s="14"/>
      <c r="D514" s="69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x14ac:dyDescent="0.3">
      <c r="A515" s="1"/>
      <c r="B515" s="14"/>
      <c r="C515" s="14"/>
      <c r="D515" s="69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x14ac:dyDescent="0.3">
      <c r="A516" s="1"/>
      <c r="B516" s="14"/>
      <c r="C516" s="14"/>
      <c r="D516" s="69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x14ac:dyDescent="0.3">
      <c r="A517" s="1"/>
      <c r="B517" s="14"/>
      <c r="C517" s="14"/>
      <c r="D517" s="69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x14ac:dyDescent="0.3">
      <c r="A518" s="1"/>
      <c r="B518" s="14"/>
      <c r="C518" s="14"/>
      <c r="D518" s="69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x14ac:dyDescent="0.3">
      <c r="A519" s="1"/>
      <c r="B519" s="14"/>
      <c r="C519" s="14"/>
      <c r="D519" s="69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x14ac:dyDescent="0.3">
      <c r="A520" s="1"/>
      <c r="B520" s="14"/>
      <c r="C520" s="14"/>
      <c r="D520" s="69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x14ac:dyDescent="0.3">
      <c r="A521" s="1"/>
      <c r="B521" s="14"/>
      <c r="C521" s="14"/>
      <c r="D521" s="69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x14ac:dyDescent="0.3">
      <c r="A522" s="1"/>
      <c r="B522" s="14"/>
      <c r="C522" s="14"/>
      <c r="D522" s="69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x14ac:dyDescent="0.3">
      <c r="A523" s="1"/>
      <c r="B523" s="14"/>
      <c r="C523" s="14"/>
      <c r="D523" s="69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x14ac:dyDescent="0.3">
      <c r="A524" s="1"/>
      <c r="B524" s="14"/>
      <c r="C524" s="14"/>
      <c r="D524" s="69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x14ac:dyDescent="0.3">
      <c r="A525" s="1"/>
      <c r="B525" s="14"/>
      <c r="C525" s="14"/>
      <c r="D525" s="69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x14ac:dyDescent="0.3">
      <c r="A526" s="1"/>
      <c r="B526" s="14"/>
      <c r="C526" s="14"/>
      <c r="D526" s="69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x14ac:dyDescent="0.3">
      <c r="A527" s="1"/>
      <c r="B527" s="14"/>
      <c r="C527" s="14"/>
      <c r="D527" s="69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x14ac:dyDescent="0.3">
      <c r="A528" s="1"/>
      <c r="B528" s="14"/>
      <c r="C528" s="14"/>
      <c r="D528" s="69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x14ac:dyDescent="0.3">
      <c r="A529" s="1"/>
      <c r="B529" s="14"/>
      <c r="C529" s="14"/>
      <c r="D529" s="69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x14ac:dyDescent="0.3">
      <c r="A530" s="1"/>
      <c r="B530" s="14"/>
      <c r="C530" s="14"/>
      <c r="D530" s="69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x14ac:dyDescent="0.3">
      <c r="A531" s="1"/>
      <c r="B531" s="14"/>
      <c r="C531" s="14"/>
      <c r="D531" s="69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x14ac:dyDescent="0.3">
      <c r="A532" s="1"/>
      <c r="B532" s="14"/>
      <c r="C532" s="14"/>
      <c r="D532" s="69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x14ac:dyDescent="0.3">
      <c r="A533" s="1"/>
      <c r="B533" s="14"/>
      <c r="C533" s="14"/>
      <c r="D533" s="69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x14ac:dyDescent="0.3">
      <c r="A534" s="1"/>
      <c r="B534" s="14"/>
      <c r="C534" s="14"/>
      <c r="D534" s="69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x14ac:dyDescent="0.3">
      <c r="A535" s="1"/>
      <c r="B535" s="14"/>
      <c r="C535" s="14"/>
      <c r="D535" s="69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x14ac:dyDescent="0.3">
      <c r="A536" s="1"/>
      <c r="B536" s="14"/>
      <c r="C536" s="14"/>
      <c r="D536" s="69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x14ac:dyDescent="0.3">
      <c r="A537" s="1"/>
      <c r="B537" s="14"/>
      <c r="C537" s="14"/>
      <c r="D537" s="69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x14ac:dyDescent="0.3">
      <c r="A538" s="1"/>
      <c r="B538" s="14"/>
      <c r="C538" s="14"/>
      <c r="D538" s="69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x14ac:dyDescent="0.3">
      <c r="A539" s="1"/>
      <c r="B539" s="14"/>
      <c r="C539" s="14"/>
      <c r="D539" s="69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x14ac:dyDescent="0.3">
      <c r="A540" s="1"/>
      <c r="B540" s="14"/>
      <c r="C540" s="14"/>
      <c r="D540" s="69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x14ac:dyDescent="0.3">
      <c r="A541" s="1"/>
      <c r="B541" s="14"/>
      <c r="C541" s="14"/>
      <c r="D541" s="69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x14ac:dyDescent="0.3">
      <c r="A542" s="1"/>
      <c r="B542" s="14"/>
      <c r="C542" s="14"/>
      <c r="D542" s="69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x14ac:dyDescent="0.3">
      <c r="A543" s="1"/>
      <c r="B543" s="14"/>
      <c r="C543" s="14"/>
      <c r="D543" s="69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x14ac:dyDescent="0.3">
      <c r="A544" s="1"/>
      <c r="B544" s="14"/>
      <c r="C544" s="14"/>
      <c r="D544" s="69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x14ac:dyDescent="0.3">
      <c r="A545" s="1"/>
      <c r="B545" s="14"/>
      <c r="C545" s="14"/>
      <c r="D545" s="69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x14ac:dyDescent="0.3">
      <c r="A546" s="1"/>
      <c r="B546" s="14"/>
      <c r="C546" s="14"/>
      <c r="D546" s="69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x14ac:dyDescent="0.3">
      <c r="A547" s="1"/>
      <c r="B547" s="14"/>
      <c r="C547" s="14"/>
      <c r="D547" s="69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x14ac:dyDescent="0.3">
      <c r="A548" s="1"/>
      <c r="B548" s="14"/>
      <c r="C548" s="14"/>
      <c r="D548" s="69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x14ac:dyDescent="0.3">
      <c r="A549" s="1"/>
      <c r="B549" s="14"/>
      <c r="C549" s="14"/>
      <c r="D549" s="69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x14ac:dyDescent="0.3">
      <c r="A550" s="1"/>
      <c r="B550" s="14"/>
      <c r="C550" s="14"/>
      <c r="D550" s="69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x14ac:dyDescent="0.3">
      <c r="A551" s="1"/>
      <c r="B551" s="14"/>
      <c r="C551" s="14"/>
      <c r="D551" s="69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x14ac:dyDescent="0.3">
      <c r="A552" s="1"/>
      <c r="B552" s="14"/>
      <c r="C552" s="14"/>
      <c r="D552" s="69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x14ac:dyDescent="0.3">
      <c r="A553" s="1"/>
      <c r="B553" s="14"/>
      <c r="C553" s="14"/>
      <c r="D553" s="69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x14ac:dyDescent="0.3">
      <c r="A554" s="1"/>
      <c r="B554" s="14"/>
      <c r="C554" s="14"/>
      <c r="D554" s="69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x14ac:dyDescent="0.3">
      <c r="A555" s="1"/>
      <c r="B555" s="14"/>
      <c r="C555" s="14"/>
      <c r="D555" s="69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x14ac:dyDescent="0.3">
      <c r="A556" s="1"/>
      <c r="B556" s="14"/>
      <c r="C556" s="14"/>
      <c r="D556" s="69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x14ac:dyDescent="0.3">
      <c r="A557" s="1"/>
      <c r="B557" s="14"/>
      <c r="C557" s="14"/>
      <c r="D557" s="69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x14ac:dyDescent="0.3">
      <c r="A558" s="1"/>
      <c r="B558" s="14"/>
      <c r="C558" s="14"/>
      <c r="D558" s="69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x14ac:dyDescent="0.3">
      <c r="A559" s="1"/>
      <c r="B559" s="14"/>
      <c r="C559" s="14"/>
      <c r="D559" s="69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x14ac:dyDescent="0.3">
      <c r="A560" s="1"/>
      <c r="B560" s="14"/>
      <c r="C560" s="14"/>
      <c r="D560" s="69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x14ac:dyDescent="0.3">
      <c r="A561" s="1"/>
      <c r="B561" s="14"/>
      <c r="C561" s="14"/>
      <c r="D561" s="69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x14ac:dyDescent="0.3">
      <c r="A562" s="1"/>
      <c r="B562" s="14"/>
      <c r="C562" s="14"/>
      <c r="D562" s="69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x14ac:dyDescent="0.3">
      <c r="A563" s="1"/>
      <c r="B563" s="14"/>
      <c r="C563" s="14"/>
      <c r="D563" s="69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x14ac:dyDescent="0.3">
      <c r="A564" s="1"/>
      <c r="B564" s="14"/>
      <c r="C564" s="14"/>
      <c r="D564" s="69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x14ac:dyDescent="0.3">
      <c r="A565" s="1"/>
      <c r="B565" s="14"/>
      <c r="C565" s="14"/>
      <c r="D565" s="69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x14ac:dyDescent="0.3">
      <c r="A566" s="1"/>
      <c r="B566" s="14"/>
      <c r="C566" s="14"/>
      <c r="D566" s="69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x14ac:dyDescent="0.3">
      <c r="A567" s="1"/>
      <c r="B567" s="14"/>
      <c r="C567" s="14"/>
      <c r="D567" s="69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x14ac:dyDescent="0.3">
      <c r="A568" s="1"/>
      <c r="B568" s="14"/>
      <c r="C568" s="14"/>
      <c r="D568" s="69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x14ac:dyDescent="0.3">
      <c r="A569" s="1"/>
      <c r="B569" s="14"/>
      <c r="C569" s="14"/>
      <c r="D569" s="69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x14ac:dyDescent="0.3">
      <c r="A570" s="1"/>
      <c r="B570" s="14"/>
      <c r="C570" s="14"/>
      <c r="D570" s="69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x14ac:dyDescent="0.3">
      <c r="A571" s="1"/>
      <c r="B571" s="14"/>
      <c r="C571" s="14"/>
      <c r="D571" s="69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x14ac:dyDescent="0.3">
      <c r="A572" s="1"/>
      <c r="B572" s="14"/>
      <c r="C572" s="14"/>
      <c r="D572" s="69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x14ac:dyDescent="0.3">
      <c r="A573" s="1"/>
      <c r="B573" s="14"/>
      <c r="C573" s="14"/>
      <c r="D573" s="69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x14ac:dyDescent="0.3">
      <c r="A574" s="1"/>
      <c r="B574" s="14"/>
      <c r="C574" s="14"/>
      <c r="D574" s="69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x14ac:dyDescent="0.3">
      <c r="A575" s="1"/>
      <c r="B575" s="14"/>
      <c r="C575" s="14"/>
      <c r="D575" s="69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x14ac:dyDescent="0.3">
      <c r="A576" s="1"/>
      <c r="B576" s="14"/>
      <c r="C576" s="14"/>
      <c r="D576" s="69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x14ac:dyDescent="0.3">
      <c r="A577" s="1"/>
      <c r="B577" s="14"/>
      <c r="C577" s="14"/>
      <c r="D577" s="69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x14ac:dyDescent="0.3">
      <c r="A578" s="1"/>
      <c r="B578" s="14"/>
      <c r="C578" s="14"/>
      <c r="D578" s="69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x14ac:dyDescent="0.3">
      <c r="A579" s="1"/>
      <c r="B579" s="14"/>
      <c r="C579" s="14"/>
      <c r="D579" s="69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x14ac:dyDescent="0.3">
      <c r="A580" s="1"/>
      <c r="B580" s="14"/>
      <c r="C580" s="14"/>
      <c r="D580" s="69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x14ac:dyDescent="0.3">
      <c r="A581" s="1"/>
      <c r="B581" s="14"/>
      <c r="C581" s="14"/>
      <c r="D581" s="69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x14ac:dyDescent="0.3">
      <c r="A582" s="1"/>
      <c r="B582" s="14"/>
      <c r="C582" s="14"/>
      <c r="D582" s="69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x14ac:dyDescent="0.3">
      <c r="A583" s="1"/>
      <c r="B583" s="14"/>
      <c r="C583" s="14"/>
      <c r="D583" s="69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x14ac:dyDescent="0.3">
      <c r="A584" s="1"/>
      <c r="B584" s="14"/>
      <c r="C584" s="14"/>
      <c r="D584" s="69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x14ac:dyDescent="0.3">
      <c r="A585" s="1"/>
      <c r="B585" s="14"/>
      <c r="C585" s="14"/>
      <c r="D585" s="69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x14ac:dyDescent="0.3">
      <c r="A586" s="1"/>
      <c r="B586" s="14"/>
      <c r="C586" s="14"/>
      <c r="D586" s="69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x14ac:dyDescent="0.3">
      <c r="A587" s="1"/>
      <c r="B587" s="14"/>
      <c r="C587" s="14"/>
      <c r="D587" s="69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x14ac:dyDescent="0.3">
      <c r="A588" s="1"/>
      <c r="B588" s="14"/>
      <c r="C588" s="14"/>
      <c r="D588" s="69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x14ac:dyDescent="0.3">
      <c r="A589" s="1"/>
      <c r="B589" s="14"/>
      <c r="C589" s="14"/>
      <c r="D589" s="69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x14ac:dyDescent="0.3">
      <c r="A590" s="1"/>
      <c r="B590" s="14"/>
      <c r="C590" s="14"/>
      <c r="D590" s="69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x14ac:dyDescent="0.3">
      <c r="A591" s="1"/>
      <c r="B591" s="14"/>
      <c r="C591" s="14"/>
      <c r="D591" s="69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x14ac:dyDescent="0.3">
      <c r="A592" s="1"/>
      <c r="B592" s="14"/>
      <c r="C592" s="14"/>
      <c r="D592" s="69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x14ac:dyDescent="0.3">
      <c r="A593" s="1"/>
      <c r="B593" s="14"/>
      <c r="C593" s="14"/>
      <c r="D593" s="69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x14ac:dyDescent="0.3">
      <c r="A594" s="1"/>
      <c r="B594" s="14"/>
      <c r="C594" s="14"/>
      <c r="D594" s="69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x14ac:dyDescent="0.3">
      <c r="A595" s="1"/>
      <c r="B595" s="14"/>
      <c r="C595" s="14"/>
      <c r="D595" s="69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x14ac:dyDescent="0.3">
      <c r="A596" s="1"/>
      <c r="B596" s="14"/>
      <c r="C596" s="14"/>
      <c r="D596" s="69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x14ac:dyDescent="0.3">
      <c r="A597" s="1"/>
      <c r="B597" s="14"/>
      <c r="C597" s="14"/>
      <c r="D597" s="69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x14ac:dyDescent="0.3">
      <c r="A598" s="1"/>
      <c r="B598" s="14"/>
      <c r="C598" s="14"/>
      <c r="D598" s="69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x14ac:dyDescent="0.3">
      <c r="A599" s="1"/>
      <c r="B599" s="14"/>
      <c r="C599" s="14"/>
      <c r="D599" s="69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x14ac:dyDescent="0.3">
      <c r="A600" s="1"/>
      <c r="B600" s="14"/>
      <c r="C600" s="14"/>
      <c r="D600" s="69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x14ac:dyDescent="0.3">
      <c r="A601" s="1"/>
      <c r="B601" s="14"/>
      <c r="C601" s="14"/>
      <c r="D601" s="69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x14ac:dyDescent="0.3">
      <c r="A602" s="1"/>
      <c r="B602" s="14"/>
      <c r="C602" s="14"/>
      <c r="D602" s="69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x14ac:dyDescent="0.3">
      <c r="A603" s="1"/>
      <c r="B603" s="14"/>
      <c r="C603" s="14"/>
      <c r="D603" s="69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x14ac:dyDescent="0.3">
      <c r="A604" s="1"/>
      <c r="B604" s="14"/>
      <c r="C604" s="14"/>
      <c r="D604" s="69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x14ac:dyDescent="0.3">
      <c r="A605" s="1"/>
      <c r="B605" s="14"/>
      <c r="C605" s="14"/>
      <c r="D605" s="69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x14ac:dyDescent="0.3">
      <c r="A606" s="1"/>
      <c r="B606" s="14"/>
      <c r="C606" s="14"/>
      <c r="D606" s="69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x14ac:dyDescent="0.3">
      <c r="A607" s="1"/>
      <c r="B607" s="14"/>
      <c r="C607" s="14"/>
      <c r="D607" s="69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x14ac:dyDescent="0.3">
      <c r="A608" s="1"/>
      <c r="B608" s="14"/>
      <c r="C608" s="14"/>
      <c r="D608" s="69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x14ac:dyDescent="0.3">
      <c r="A609" s="1"/>
      <c r="B609" s="14"/>
      <c r="C609" s="14"/>
      <c r="D609" s="69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x14ac:dyDescent="0.3">
      <c r="A610" s="1"/>
      <c r="B610" s="14"/>
      <c r="C610" s="14"/>
      <c r="D610" s="69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x14ac:dyDescent="0.3">
      <c r="A611" s="1"/>
      <c r="B611" s="14"/>
      <c r="C611" s="14"/>
      <c r="D611" s="69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x14ac:dyDescent="0.3">
      <c r="A612" s="1"/>
      <c r="B612" s="14"/>
      <c r="C612" s="14"/>
      <c r="D612" s="69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x14ac:dyDescent="0.3">
      <c r="A613" s="1"/>
      <c r="B613" s="14"/>
      <c r="C613" s="14"/>
      <c r="D613" s="69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x14ac:dyDescent="0.3">
      <c r="A614" s="1"/>
      <c r="B614" s="14"/>
      <c r="C614" s="14"/>
      <c r="D614" s="69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x14ac:dyDescent="0.3">
      <c r="A615" s="1"/>
      <c r="B615" s="14"/>
      <c r="C615" s="14"/>
      <c r="D615" s="69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x14ac:dyDescent="0.3">
      <c r="A616" s="1"/>
      <c r="B616" s="14"/>
      <c r="C616" s="14"/>
      <c r="D616" s="69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x14ac:dyDescent="0.3">
      <c r="A617" s="1"/>
      <c r="B617" s="14"/>
      <c r="C617" s="14"/>
      <c r="D617" s="69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x14ac:dyDescent="0.3">
      <c r="A618" s="1"/>
      <c r="B618" s="14"/>
      <c r="C618" s="14"/>
      <c r="D618" s="69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x14ac:dyDescent="0.3">
      <c r="A619" s="1"/>
      <c r="B619" s="14"/>
      <c r="C619" s="14"/>
      <c r="D619" s="69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x14ac:dyDescent="0.3">
      <c r="A620" s="1"/>
      <c r="B620" s="14"/>
      <c r="C620" s="14"/>
      <c r="D620" s="69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x14ac:dyDescent="0.3">
      <c r="A621" s="1"/>
      <c r="B621" s="14"/>
      <c r="C621" s="14"/>
      <c r="D621" s="69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x14ac:dyDescent="0.3">
      <c r="A622" s="1"/>
      <c r="B622" s="14"/>
      <c r="C622" s="14"/>
      <c r="D622" s="69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x14ac:dyDescent="0.3">
      <c r="A623" s="1"/>
      <c r="B623" s="14"/>
      <c r="C623" s="14"/>
      <c r="D623" s="69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x14ac:dyDescent="0.3">
      <c r="A624" s="1"/>
      <c r="B624" s="14"/>
      <c r="C624" s="14"/>
      <c r="D624" s="69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x14ac:dyDescent="0.3">
      <c r="A625" s="1"/>
      <c r="B625" s="14"/>
      <c r="C625" s="14"/>
      <c r="D625" s="69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x14ac:dyDescent="0.3">
      <c r="A626" s="1"/>
      <c r="B626" s="14"/>
      <c r="C626" s="14"/>
      <c r="D626" s="69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x14ac:dyDescent="0.3">
      <c r="A627" s="1"/>
      <c r="B627" s="14"/>
      <c r="C627" s="14"/>
      <c r="D627" s="69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x14ac:dyDescent="0.3">
      <c r="A628" s="1"/>
      <c r="B628" s="14"/>
      <c r="C628" s="14"/>
      <c r="D628" s="69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x14ac:dyDescent="0.3">
      <c r="A629" s="1"/>
      <c r="B629" s="14"/>
      <c r="C629" s="14"/>
      <c r="D629" s="69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x14ac:dyDescent="0.3">
      <c r="A630" s="1"/>
      <c r="B630" s="14"/>
      <c r="C630" s="14"/>
      <c r="D630" s="69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x14ac:dyDescent="0.3">
      <c r="A631" s="1"/>
      <c r="B631" s="14"/>
      <c r="C631" s="14"/>
      <c r="D631" s="69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x14ac:dyDescent="0.3">
      <c r="A632" s="1"/>
      <c r="B632" s="14"/>
      <c r="C632" s="14"/>
      <c r="D632" s="69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x14ac:dyDescent="0.3">
      <c r="A633" s="1"/>
      <c r="B633" s="14"/>
      <c r="C633" s="14"/>
      <c r="D633" s="69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x14ac:dyDescent="0.3">
      <c r="A634" s="1"/>
      <c r="B634" s="14"/>
      <c r="C634" s="14"/>
      <c r="D634" s="69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x14ac:dyDescent="0.3">
      <c r="A635" s="1"/>
      <c r="B635" s="14"/>
      <c r="C635" s="14"/>
      <c r="D635" s="69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x14ac:dyDescent="0.3">
      <c r="A636" s="1"/>
      <c r="B636" s="14"/>
      <c r="C636" s="14"/>
      <c r="D636" s="69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x14ac:dyDescent="0.3">
      <c r="A637" s="1"/>
      <c r="B637" s="14"/>
      <c r="C637" s="14"/>
      <c r="D637" s="69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x14ac:dyDescent="0.3">
      <c r="A638" s="1"/>
      <c r="B638" s="14"/>
      <c r="C638" s="14"/>
      <c r="D638" s="69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x14ac:dyDescent="0.3">
      <c r="A639" s="1"/>
      <c r="B639" s="14"/>
      <c r="C639" s="14"/>
      <c r="D639" s="69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x14ac:dyDescent="0.3">
      <c r="A640" s="1"/>
      <c r="B640" s="14"/>
      <c r="C640" s="14"/>
      <c r="D640" s="69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x14ac:dyDescent="0.3">
      <c r="A641" s="1"/>
      <c r="B641" s="14"/>
      <c r="C641" s="14"/>
      <c r="D641" s="69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x14ac:dyDescent="0.3">
      <c r="A642" s="1"/>
      <c r="B642" s="14"/>
      <c r="C642" s="14"/>
      <c r="D642" s="69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x14ac:dyDescent="0.3">
      <c r="A643" s="1"/>
      <c r="B643" s="14"/>
      <c r="C643" s="14"/>
      <c r="D643" s="69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x14ac:dyDescent="0.3">
      <c r="A644" s="1"/>
      <c r="B644" s="14"/>
      <c r="C644" s="14"/>
      <c r="D644" s="69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x14ac:dyDescent="0.3">
      <c r="A645" s="1"/>
      <c r="B645" s="14"/>
      <c r="C645" s="14"/>
      <c r="D645" s="69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x14ac:dyDescent="0.3">
      <c r="A646" s="1"/>
      <c r="B646" s="14"/>
      <c r="C646" s="14"/>
      <c r="D646" s="69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x14ac:dyDescent="0.3">
      <c r="A647" s="1"/>
      <c r="B647" s="14"/>
      <c r="C647" s="14"/>
      <c r="D647" s="69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x14ac:dyDescent="0.3">
      <c r="A648" s="1"/>
      <c r="B648" s="14"/>
      <c r="C648" s="14"/>
      <c r="D648" s="69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x14ac:dyDescent="0.3">
      <c r="A649" s="1"/>
      <c r="B649" s="14"/>
      <c r="C649" s="14"/>
      <c r="D649" s="69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x14ac:dyDescent="0.3">
      <c r="A650" s="1"/>
      <c r="B650" s="14"/>
      <c r="C650" s="14"/>
      <c r="D650" s="69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x14ac:dyDescent="0.3">
      <c r="A651" s="1"/>
      <c r="B651" s="14"/>
      <c r="C651" s="14"/>
      <c r="D651" s="69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x14ac:dyDescent="0.3">
      <c r="A652" s="1"/>
      <c r="B652" s="14"/>
      <c r="C652" s="14"/>
      <c r="D652" s="69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x14ac:dyDescent="0.3">
      <c r="A653" s="1"/>
      <c r="B653" s="14"/>
      <c r="C653" s="14"/>
      <c r="D653" s="69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x14ac:dyDescent="0.3">
      <c r="A654" s="1"/>
      <c r="B654" s="14"/>
      <c r="C654" s="14"/>
      <c r="D654" s="69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x14ac:dyDescent="0.3">
      <c r="A655" s="1"/>
      <c r="B655" s="14"/>
      <c r="C655" s="14"/>
      <c r="D655" s="69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x14ac:dyDescent="0.3">
      <c r="A656" s="1"/>
      <c r="B656" s="14"/>
      <c r="C656" s="14"/>
      <c r="D656" s="69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x14ac:dyDescent="0.3">
      <c r="A657" s="1"/>
      <c r="B657" s="14"/>
      <c r="C657" s="14"/>
      <c r="D657" s="69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x14ac:dyDescent="0.3">
      <c r="A658" s="1"/>
      <c r="B658" s="14"/>
      <c r="C658" s="14"/>
      <c r="D658" s="69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x14ac:dyDescent="0.3">
      <c r="A659" s="1"/>
      <c r="B659" s="14"/>
      <c r="C659" s="14"/>
      <c r="D659" s="69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x14ac:dyDescent="0.3">
      <c r="A660" s="1"/>
      <c r="B660" s="14"/>
      <c r="C660" s="14"/>
      <c r="D660" s="69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x14ac:dyDescent="0.3">
      <c r="A661" s="1"/>
      <c r="B661" s="14"/>
      <c r="C661" s="14"/>
      <c r="D661" s="69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x14ac:dyDescent="0.3">
      <c r="A662" s="1"/>
      <c r="B662" s="14"/>
      <c r="C662" s="14"/>
      <c r="D662" s="69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x14ac:dyDescent="0.3">
      <c r="A663" s="1"/>
      <c r="B663" s="14"/>
      <c r="C663" s="14"/>
      <c r="D663" s="69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x14ac:dyDescent="0.3">
      <c r="A664" s="1"/>
      <c r="B664" s="14"/>
      <c r="C664" s="14"/>
      <c r="D664" s="69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x14ac:dyDescent="0.3">
      <c r="A665" s="1"/>
      <c r="B665" s="14"/>
      <c r="C665" s="14"/>
      <c r="D665" s="69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x14ac:dyDescent="0.3">
      <c r="A666" s="1"/>
      <c r="B666" s="14"/>
      <c r="C666" s="14"/>
      <c r="D666" s="69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x14ac:dyDescent="0.3">
      <c r="A667" s="1"/>
      <c r="B667" s="14"/>
      <c r="C667" s="14"/>
      <c r="D667" s="69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x14ac:dyDescent="0.3">
      <c r="A668" s="1"/>
      <c r="B668" s="14"/>
      <c r="C668" s="14"/>
      <c r="D668" s="69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x14ac:dyDescent="0.3">
      <c r="A669" s="1"/>
      <c r="B669" s="14"/>
      <c r="C669" s="14"/>
      <c r="D669" s="69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x14ac:dyDescent="0.3">
      <c r="A670" s="1"/>
      <c r="B670" s="14"/>
      <c r="C670" s="14"/>
      <c r="D670" s="69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x14ac:dyDescent="0.3">
      <c r="A671" s="1"/>
      <c r="B671" s="14"/>
      <c r="C671" s="14"/>
      <c r="D671" s="69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x14ac:dyDescent="0.3">
      <c r="A672" s="1"/>
      <c r="B672" s="14"/>
      <c r="C672" s="14"/>
      <c r="D672" s="69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x14ac:dyDescent="0.3">
      <c r="A673" s="1"/>
      <c r="B673" s="14"/>
      <c r="C673" s="14"/>
      <c r="D673" s="69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x14ac:dyDescent="0.3">
      <c r="A674" s="1"/>
      <c r="B674" s="14"/>
      <c r="C674" s="14"/>
      <c r="D674" s="69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x14ac:dyDescent="0.3">
      <c r="A675" s="1"/>
      <c r="B675" s="14"/>
      <c r="C675" s="14"/>
      <c r="D675" s="69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x14ac:dyDescent="0.3">
      <c r="A676" s="1"/>
      <c r="B676" s="14"/>
      <c r="C676" s="14"/>
      <c r="D676" s="69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x14ac:dyDescent="0.3">
      <c r="A677" s="1"/>
      <c r="B677" s="14"/>
      <c r="C677" s="14"/>
      <c r="D677" s="69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x14ac:dyDescent="0.3">
      <c r="A678" s="1"/>
      <c r="B678" s="14"/>
      <c r="C678" s="14"/>
      <c r="D678" s="69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x14ac:dyDescent="0.3">
      <c r="A679" s="1"/>
      <c r="B679" s="14"/>
      <c r="C679" s="14"/>
      <c r="D679" s="69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x14ac:dyDescent="0.3">
      <c r="A680" s="1"/>
      <c r="B680" s="14"/>
      <c r="C680" s="14"/>
      <c r="D680" s="69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x14ac:dyDescent="0.3">
      <c r="A681" s="1"/>
      <c r="B681" s="14"/>
      <c r="C681" s="14"/>
      <c r="D681" s="69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x14ac:dyDescent="0.3">
      <c r="A682" s="1"/>
      <c r="B682" s="14"/>
      <c r="C682" s="14"/>
      <c r="D682" s="69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x14ac:dyDescent="0.3">
      <c r="A683" s="1"/>
      <c r="B683" s="14"/>
      <c r="C683" s="14"/>
      <c r="D683" s="69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x14ac:dyDescent="0.3">
      <c r="A684" s="1"/>
      <c r="B684" s="14"/>
      <c r="C684" s="14"/>
      <c r="D684" s="69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x14ac:dyDescent="0.3">
      <c r="A685" s="1"/>
      <c r="B685" s="14"/>
      <c r="C685" s="14"/>
      <c r="D685" s="69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x14ac:dyDescent="0.3">
      <c r="A686" s="1"/>
      <c r="B686" s="14"/>
      <c r="C686" s="14"/>
      <c r="D686" s="69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x14ac:dyDescent="0.3">
      <c r="A687" s="1"/>
      <c r="B687" s="14"/>
      <c r="C687" s="14"/>
      <c r="D687" s="69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x14ac:dyDescent="0.3">
      <c r="A688" s="1"/>
      <c r="B688" s="14"/>
      <c r="C688" s="14"/>
      <c r="D688" s="69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x14ac:dyDescent="0.3">
      <c r="A689" s="1"/>
      <c r="B689" s="14"/>
      <c r="C689" s="14"/>
      <c r="D689" s="69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x14ac:dyDescent="0.3">
      <c r="A690" s="1"/>
      <c r="B690" s="14"/>
      <c r="C690" s="14"/>
      <c r="D690" s="69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x14ac:dyDescent="0.3">
      <c r="A691" s="1"/>
      <c r="B691" s="14"/>
      <c r="C691" s="14"/>
      <c r="D691" s="69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x14ac:dyDescent="0.3">
      <c r="A692" s="1"/>
      <c r="B692" s="14"/>
      <c r="C692" s="14"/>
      <c r="D692" s="69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x14ac:dyDescent="0.3">
      <c r="A693" s="1"/>
      <c r="B693" s="14"/>
      <c r="C693" s="14"/>
      <c r="D693" s="69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x14ac:dyDescent="0.3">
      <c r="A694" s="1"/>
      <c r="B694" s="14"/>
      <c r="C694" s="14"/>
      <c r="D694" s="69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x14ac:dyDescent="0.3">
      <c r="A695" s="1"/>
      <c r="B695" s="14"/>
      <c r="C695" s="14"/>
      <c r="D695" s="69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x14ac:dyDescent="0.3">
      <c r="A696" s="1"/>
      <c r="B696" s="14"/>
      <c r="C696" s="14"/>
      <c r="D696" s="69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x14ac:dyDescent="0.3">
      <c r="A697" s="1"/>
      <c r="B697" s="14"/>
      <c r="C697" s="14"/>
      <c r="D697" s="69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x14ac:dyDescent="0.3">
      <c r="A698" s="1"/>
      <c r="B698" s="14"/>
      <c r="C698" s="14"/>
      <c r="D698" s="69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x14ac:dyDescent="0.3">
      <c r="A699" s="1"/>
      <c r="B699" s="14"/>
      <c r="C699" s="14"/>
      <c r="D699" s="69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x14ac:dyDescent="0.3">
      <c r="A700" s="1"/>
      <c r="B700" s="14"/>
      <c r="C700" s="14"/>
      <c r="D700" s="69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x14ac:dyDescent="0.3">
      <c r="A701" s="1"/>
      <c r="B701" s="14"/>
      <c r="C701" s="14"/>
      <c r="D701" s="69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x14ac:dyDescent="0.3">
      <c r="A702" s="1"/>
      <c r="B702" s="14"/>
      <c r="C702" s="14"/>
      <c r="D702" s="69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x14ac:dyDescent="0.3">
      <c r="A703" s="1"/>
      <c r="B703" s="14"/>
      <c r="C703" s="14"/>
      <c r="D703" s="69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x14ac:dyDescent="0.3">
      <c r="A704" s="1"/>
      <c r="B704" s="14"/>
      <c r="C704" s="14"/>
      <c r="D704" s="69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x14ac:dyDescent="0.3">
      <c r="A705" s="1"/>
      <c r="B705" s="14"/>
      <c r="C705" s="14"/>
      <c r="D705" s="69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x14ac:dyDescent="0.3">
      <c r="A706" s="1"/>
      <c r="B706" s="14"/>
      <c r="C706" s="14"/>
      <c r="D706" s="69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x14ac:dyDescent="0.3">
      <c r="A707" s="1"/>
      <c r="B707" s="14"/>
      <c r="C707" s="14"/>
      <c r="D707" s="69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x14ac:dyDescent="0.3">
      <c r="A708" s="1"/>
      <c r="B708" s="14"/>
      <c r="C708" s="14"/>
      <c r="D708" s="69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x14ac:dyDescent="0.3">
      <c r="A709" s="1"/>
      <c r="B709" s="14"/>
      <c r="C709" s="14"/>
      <c r="D709" s="69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x14ac:dyDescent="0.3">
      <c r="A710" s="1"/>
      <c r="B710" s="14"/>
      <c r="C710" s="14"/>
      <c r="D710" s="69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x14ac:dyDescent="0.3">
      <c r="A711" s="1"/>
      <c r="B711" s="14"/>
      <c r="C711" s="14"/>
      <c r="D711" s="69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x14ac:dyDescent="0.3">
      <c r="A712" s="1"/>
      <c r="B712" s="14"/>
      <c r="C712" s="14"/>
      <c r="D712" s="69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x14ac:dyDescent="0.3">
      <c r="A713" s="1"/>
      <c r="B713" s="14"/>
      <c r="C713" s="14"/>
      <c r="D713" s="69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x14ac:dyDescent="0.3">
      <c r="A714" s="1"/>
      <c r="B714" s="14"/>
      <c r="C714" s="14"/>
      <c r="D714" s="69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x14ac:dyDescent="0.3">
      <c r="A715" s="1"/>
      <c r="B715" s="14"/>
      <c r="C715" s="14"/>
      <c r="D715" s="69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x14ac:dyDescent="0.3">
      <c r="A716" s="1"/>
      <c r="B716" s="14"/>
      <c r="C716" s="14"/>
      <c r="D716" s="69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x14ac:dyDescent="0.3">
      <c r="A717" s="1"/>
      <c r="B717" s="14"/>
      <c r="C717" s="14"/>
      <c r="D717" s="69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x14ac:dyDescent="0.3">
      <c r="A718" s="1"/>
      <c r="B718" s="14"/>
      <c r="C718" s="14"/>
      <c r="D718" s="69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x14ac:dyDescent="0.3">
      <c r="A719" s="1"/>
      <c r="B719" s="14"/>
      <c r="C719" s="14"/>
      <c r="D719" s="69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x14ac:dyDescent="0.3">
      <c r="A720" s="1"/>
      <c r="B720" s="14"/>
      <c r="C720" s="14"/>
      <c r="D720" s="69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x14ac:dyDescent="0.3">
      <c r="A721" s="1"/>
      <c r="B721" s="14"/>
      <c r="C721" s="14"/>
      <c r="D721" s="69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x14ac:dyDescent="0.3">
      <c r="A722" s="1"/>
      <c r="B722" s="14"/>
      <c r="C722" s="14"/>
      <c r="D722" s="69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x14ac:dyDescent="0.3">
      <c r="A723" s="1"/>
      <c r="B723" s="14"/>
      <c r="C723" s="14"/>
      <c r="D723" s="69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x14ac:dyDescent="0.3">
      <c r="A724" s="1"/>
      <c r="B724" s="14"/>
      <c r="C724" s="14"/>
      <c r="D724" s="69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x14ac:dyDescent="0.3">
      <c r="A725" s="1"/>
      <c r="B725" s="14"/>
      <c r="C725" s="14"/>
      <c r="D725" s="69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x14ac:dyDescent="0.3">
      <c r="A726" s="1"/>
      <c r="B726" s="14"/>
      <c r="C726" s="14"/>
      <c r="D726" s="69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x14ac:dyDescent="0.3">
      <c r="A727" s="1"/>
      <c r="B727" s="14"/>
      <c r="C727" s="14"/>
      <c r="D727" s="69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x14ac:dyDescent="0.3">
      <c r="A728" s="1"/>
      <c r="B728" s="14"/>
      <c r="C728" s="14"/>
      <c r="D728" s="69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x14ac:dyDescent="0.3">
      <c r="A729" s="1"/>
      <c r="B729" s="14"/>
      <c r="C729" s="14"/>
      <c r="D729" s="69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x14ac:dyDescent="0.3">
      <c r="A730" s="1"/>
      <c r="B730" s="14"/>
      <c r="C730" s="14"/>
      <c r="D730" s="69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x14ac:dyDescent="0.3">
      <c r="A731" s="1"/>
      <c r="B731" s="14"/>
      <c r="C731" s="14"/>
      <c r="D731" s="69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x14ac:dyDescent="0.3">
      <c r="A732" s="1"/>
      <c r="B732" s="14"/>
      <c r="C732" s="14"/>
      <c r="D732" s="69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x14ac:dyDescent="0.3">
      <c r="A733" s="1"/>
      <c r="B733" s="14"/>
      <c r="C733" s="14"/>
      <c r="D733" s="69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x14ac:dyDescent="0.3">
      <c r="A734" s="1"/>
      <c r="B734" s="14"/>
      <c r="C734" s="14"/>
      <c r="D734" s="69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x14ac:dyDescent="0.3">
      <c r="A735" s="1"/>
      <c r="B735" s="14"/>
      <c r="C735" s="14"/>
      <c r="D735" s="69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x14ac:dyDescent="0.3">
      <c r="A736" s="1"/>
      <c r="B736" s="14"/>
      <c r="C736" s="14"/>
      <c r="D736" s="69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x14ac:dyDescent="0.3">
      <c r="A737" s="1"/>
      <c r="B737" s="14"/>
      <c r="C737" s="14"/>
      <c r="D737" s="69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x14ac:dyDescent="0.3">
      <c r="A738" s="1"/>
      <c r="B738" s="14"/>
      <c r="C738" s="14"/>
      <c r="D738" s="69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x14ac:dyDescent="0.3">
      <c r="A739" s="1"/>
      <c r="B739" s="14"/>
      <c r="C739" s="14"/>
      <c r="D739" s="69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x14ac:dyDescent="0.3">
      <c r="A740" s="1"/>
      <c r="B740" s="14"/>
      <c r="C740" s="14"/>
      <c r="D740" s="69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x14ac:dyDescent="0.3">
      <c r="A741" s="1"/>
      <c r="B741" s="14"/>
      <c r="C741" s="14"/>
      <c r="D741" s="69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x14ac:dyDescent="0.3">
      <c r="A742" s="1"/>
      <c r="B742" s="14"/>
      <c r="C742" s="14"/>
      <c r="D742" s="69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x14ac:dyDescent="0.3">
      <c r="A743" s="1"/>
      <c r="B743" s="14"/>
      <c r="C743" s="14"/>
      <c r="D743" s="69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x14ac:dyDescent="0.3">
      <c r="A744" s="1"/>
      <c r="B744" s="14"/>
      <c r="C744" s="14"/>
      <c r="D744" s="69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x14ac:dyDescent="0.3">
      <c r="A745" s="1"/>
      <c r="B745" s="14"/>
      <c r="C745" s="14"/>
      <c r="D745" s="69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x14ac:dyDescent="0.3">
      <c r="A746" s="1"/>
      <c r="B746" s="14"/>
      <c r="C746" s="14"/>
      <c r="D746" s="69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x14ac:dyDescent="0.3">
      <c r="A747" s="1"/>
      <c r="B747" s="14"/>
      <c r="C747" s="14"/>
      <c r="D747" s="69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x14ac:dyDescent="0.3">
      <c r="A748" s="1"/>
      <c r="B748" s="14"/>
      <c r="C748" s="14"/>
      <c r="D748" s="69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x14ac:dyDescent="0.3">
      <c r="A749" s="1"/>
      <c r="B749" s="14"/>
      <c r="C749" s="14"/>
      <c r="D749" s="69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x14ac:dyDescent="0.3">
      <c r="A750" s="1"/>
      <c r="B750" s="14"/>
      <c r="C750" s="14"/>
      <c r="D750" s="69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x14ac:dyDescent="0.3">
      <c r="A751" s="1"/>
      <c r="B751" s="14"/>
      <c r="C751" s="14"/>
      <c r="D751" s="69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x14ac:dyDescent="0.3">
      <c r="A752" s="1"/>
      <c r="B752" s="14"/>
      <c r="C752" s="14"/>
      <c r="D752" s="69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x14ac:dyDescent="0.3">
      <c r="A753" s="1"/>
      <c r="B753" s="14"/>
      <c r="C753" s="14"/>
      <c r="D753" s="69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x14ac:dyDescent="0.3">
      <c r="A754" s="1"/>
      <c r="B754" s="14"/>
      <c r="C754" s="14"/>
      <c r="D754" s="69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x14ac:dyDescent="0.3">
      <c r="A755" s="1"/>
      <c r="B755" s="14"/>
      <c r="C755" s="14"/>
      <c r="D755" s="69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x14ac:dyDescent="0.3">
      <c r="A756" s="1"/>
      <c r="B756" s="14"/>
      <c r="C756" s="14"/>
      <c r="D756" s="69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x14ac:dyDescent="0.3">
      <c r="A757" s="1"/>
      <c r="B757" s="14"/>
      <c r="C757" s="14"/>
      <c r="D757" s="69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x14ac:dyDescent="0.3">
      <c r="A758" s="1"/>
      <c r="B758" s="14"/>
      <c r="C758" s="14"/>
      <c r="D758" s="69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x14ac:dyDescent="0.3">
      <c r="A759" s="1"/>
      <c r="B759" s="14"/>
      <c r="C759" s="14"/>
      <c r="D759" s="69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x14ac:dyDescent="0.3">
      <c r="A760" s="1"/>
      <c r="B760" s="14"/>
      <c r="C760" s="14"/>
      <c r="D760" s="69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x14ac:dyDescent="0.3">
      <c r="A761" s="1"/>
      <c r="B761" s="14"/>
      <c r="C761" s="14"/>
      <c r="D761" s="69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x14ac:dyDescent="0.3">
      <c r="A762" s="1"/>
      <c r="B762" s="14"/>
      <c r="C762" s="14"/>
      <c r="D762" s="69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x14ac:dyDescent="0.3">
      <c r="A763" s="1"/>
      <c r="B763" s="14"/>
      <c r="C763" s="14"/>
      <c r="D763" s="69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x14ac:dyDescent="0.3">
      <c r="A764" s="1"/>
      <c r="B764" s="14"/>
      <c r="C764" s="14"/>
      <c r="D764" s="69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x14ac:dyDescent="0.3">
      <c r="A765" s="1"/>
      <c r="B765" s="14"/>
      <c r="C765" s="14"/>
      <c r="D765" s="69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x14ac:dyDescent="0.3">
      <c r="A766" s="1"/>
      <c r="B766" s="14"/>
      <c r="C766" s="14"/>
      <c r="D766" s="69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x14ac:dyDescent="0.3">
      <c r="A767" s="1"/>
      <c r="B767" s="14"/>
      <c r="C767" s="14"/>
      <c r="D767" s="69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x14ac:dyDescent="0.3">
      <c r="A768" s="1"/>
      <c r="B768" s="14"/>
      <c r="C768" s="14"/>
      <c r="D768" s="69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x14ac:dyDescent="0.3">
      <c r="A769" s="1"/>
      <c r="B769" s="14"/>
      <c r="C769" s="14"/>
      <c r="D769" s="69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x14ac:dyDescent="0.3">
      <c r="A770" s="1"/>
      <c r="B770" s="14"/>
      <c r="C770" s="14"/>
      <c r="D770" s="69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x14ac:dyDescent="0.3">
      <c r="A771" s="1"/>
      <c r="B771" s="14"/>
      <c r="C771" s="14"/>
      <c r="D771" s="69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x14ac:dyDescent="0.3">
      <c r="A772" s="1"/>
      <c r="B772" s="14"/>
      <c r="C772" s="14"/>
      <c r="D772" s="69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x14ac:dyDescent="0.3">
      <c r="A773" s="1"/>
      <c r="B773" s="14"/>
      <c r="C773" s="14"/>
      <c r="D773" s="69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x14ac:dyDescent="0.3">
      <c r="A774" s="1"/>
      <c r="B774" s="14"/>
      <c r="C774" s="14"/>
      <c r="D774" s="69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x14ac:dyDescent="0.3">
      <c r="A775" s="1"/>
      <c r="B775" s="14"/>
      <c r="C775" s="14"/>
      <c r="D775" s="69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x14ac:dyDescent="0.3">
      <c r="A776" s="1"/>
      <c r="B776" s="14"/>
      <c r="C776" s="14"/>
      <c r="D776" s="69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x14ac:dyDescent="0.3">
      <c r="A777" s="1"/>
      <c r="B777" s="14"/>
      <c r="C777" s="14"/>
      <c r="D777" s="69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x14ac:dyDescent="0.3">
      <c r="A778" s="1"/>
      <c r="B778" s="14"/>
      <c r="C778" s="14"/>
      <c r="D778" s="69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x14ac:dyDescent="0.3">
      <c r="A779" s="1"/>
      <c r="B779" s="14"/>
      <c r="C779" s="14"/>
      <c r="D779" s="69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x14ac:dyDescent="0.3">
      <c r="A780" s="1"/>
      <c r="B780" s="14"/>
      <c r="C780" s="14"/>
      <c r="D780" s="69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x14ac:dyDescent="0.3">
      <c r="A781" s="1"/>
      <c r="B781" s="14"/>
      <c r="C781" s="14"/>
      <c r="D781" s="69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x14ac:dyDescent="0.3">
      <c r="A782" s="1"/>
      <c r="B782" s="14"/>
      <c r="C782" s="14"/>
      <c r="D782" s="69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x14ac:dyDescent="0.3">
      <c r="A783" s="1"/>
      <c r="B783" s="14"/>
      <c r="C783" s="14"/>
      <c r="D783" s="69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x14ac:dyDescent="0.3">
      <c r="A784" s="1"/>
      <c r="B784" s="14"/>
      <c r="C784" s="14"/>
      <c r="D784" s="69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x14ac:dyDescent="0.3">
      <c r="A785" s="1"/>
      <c r="B785" s="14"/>
      <c r="C785" s="14"/>
      <c r="D785" s="69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x14ac:dyDescent="0.3">
      <c r="A786" s="1"/>
      <c r="B786" s="14"/>
      <c r="C786" s="14"/>
      <c r="D786" s="69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x14ac:dyDescent="0.3">
      <c r="A787" s="1"/>
      <c r="B787" s="14"/>
      <c r="C787" s="14"/>
      <c r="D787" s="69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x14ac:dyDescent="0.3">
      <c r="A788" s="1"/>
      <c r="B788" s="14"/>
      <c r="C788" s="14"/>
      <c r="D788" s="69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x14ac:dyDescent="0.3">
      <c r="A789" s="1"/>
      <c r="B789" s="14"/>
      <c r="C789" s="14"/>
      <c r="D789" s="69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x14ac:dyDescent="0.3">
      <c r="A790" s="1"/>
      <c r="B790" s="14"/>
      <c r="C790" s="14"/>
      <c r="D790" s="69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x14ac:dyDescent="0.3">
      <c r="A791" s="1"/>
      <c r="B791" s="14"/>
      <c r="C791" s="14"/>
      <c r="D791" s="69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x14ac:dyDescent="0.3">
      <c r="A792" s="1"/>
      <c r="B792" s="14"/>
      <c r="C792" s="14"/>
      <c r="D792" s="69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x14ac:dyDescent="0.3">
      <c r="A793" s="1"/>
      <c r="B793" s="14"/>
      <c r="C793" s="14"/>
      <c r="D793" s="69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x14ac:dyDescent="0.3">
      <c r="A794" s="1"/>
      <c r="B794" s="14"/>
      <c r="C794" s="14"/>
      <c r="D794" s="69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x14ac:dyDescent="0.3">
      <c r="A795" s="1"/>
      <c r="B795" s="14"/>
      <c r="C795" s="14"/>
      <c r="D795" s="69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x14ac:dyDescent="0.3">
      <c r="A796" s="1"/>
      <c r="B796" s="14"/>
      <c r="C796" s="14"/>
      <c r="D796" s="69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x14ac:dyDescent="0.3">
      <c r="A797" s="1"/>
      <c r="B797" s="14"/>
      <c r="C797" s="14"/>
      <c r="D797" s="69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x14ac:dyDescent="0.3">
      <c r="A798" s="1"/>
      <c r="B798" s="14"/>
      <c r="C798" s="14"/>
      <c r="D798" s="69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x14ac:dyDescent="0.3">
      <c r="A799" s="1"/>
      <c r="B799" s="14"/>
      <c r="C799" s="14"/>
      <c r="D799" s="69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x14ac:dyDescent="0.3">
      <c r="A800" s="1"/>
      <c r="B800" s="14"/>
      <c r="C800" s="14"/>
      <c r="D800" s="69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x14ac:dyDescent="0.3">
      <c r="A801" s="1"/>
      <c r="B801" s="14"/>
      <c r="C801" s="14"/>
      <c r="D801" s="69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x14ac:dyDescent="0.3">
      <c r="A802" s="1"/>
      <c r="B802" s="14"/>
      <c r="C802" s="14"/>
      <c r="D802" s="69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x14ac:dyDescent="0.3">
      <c r="A803" s="1"/>
      <c r="B803" s="14"/>
      <c r="C803" s="14"/>
      <c r="D803" s="69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x14ac:dyDescent="0.3">
      <c r="A804" s="1"/>
      <c r="B804" s="14"/>
      <c r="C804" s="14"/>
      <c r="D804" s="69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x14ac:dyDescent="0.3">
      <c r="A805" s="1"/>
      <c r="B805" s="14"/>
      <c r="C805" s="14"/>
      <c r="D805" s="69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x14ac:dyDescent="0.3">
      <c r="A806" s="1"/>
      <c r="B806" s="14"/>
      <c r="C806" s="14"/>
      <c r="D806" s="69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x14ac:dyDescent="0.3">
      <c r="A807" s="1"/>
      <c r="B807" s="14"/>
      <c r="C807" s="14"/>
      <c r="D807" s="69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x14ac:dyDescent="0.3">
      <c r="A808" s="1"/>
      <c r="B808" s="14"/>
      <c r="C808" s="14"/>
      <c r="D808" s="69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x14ac:dyDescent="0.3">
      <c r="A809" s="1"/>
      <c r="B809" s="14"/>
      <c r="C809" s="14"/>
      <c r="D809" s="69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x14ac:dyDescent="0.3">
      <c r="A810" s="1"/>
      <c r="B810" s="14"/>
      <c r="C810" s="14"/>
      <c r="D810" s="69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x14ac:dyDescent="0.3">
      <c r="A811" s="1"/>
      <c r="B811" s="14"/>
      <c r="C811" s="14"/>
      <c r="D811" s="69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x14ac:dyDescent="0.3">
      <c r="A812" s="1"/>
      <c r="B812" s="14"/>
      <c r="C812" s="14"/>
      <c r="D812" s="69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x14ac:dyDescent="0.3">
      <c r="A813" s="1"/>
      <c r="B813" s="14"/>
      <c r="C813" s="14"/>
      <c r="D813" s="69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x14ac:dyDescent="0.3">
      <c r="A814" s="1"/>
      <c r="B814" s="14"/>
      <c r="C814" s="14"/>
      <c r="D814" s="69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x14ac:dyDescent="0.3">
      <c r="A815" s="1"/>
      <c r="B815" s="14"/>
      <c r="C815" s="14"/>
      <c r="D815" s="69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x14ac:dyDescent="0.3">
      <c r="A816" s="1"/>
      <c r="B816" s="14"/>
      <c r="C816" s="14"/>
      <c r="D816" s="69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x14ac:dyDescent="0.3">
      <c r="A817" s="1"/>
      <c r="B817" s="14"/>
      <c r="C817" s="14"/>
      <c r="D817" s="69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x14ac:dyDescent="0.3">
      <c r="A818" s="1"/>
      <c r="B818" s="14"/>
      <c r="C818" s="14"/>
      <c r="D818" s="69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x14ac:dyDescent="0.3">
      <c r="A819" s="1"/>
      <c r="B819" s="14"/>
      <c r="C819" s="14"/>
      <c r="D819" s="69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x14ac:dyDescent="0.3">
      <c r="A820" s="1"/>
      <c r="B820" s="14"/>
      <c r="C820" s="14"/>
      <c r="D820" s="69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x14ac:dyDescent="0.3">
      <c r="A821" s="1"/>
      <c r="B821" s="14"/>
      <c r="C821" s="14"/>
      <c r="D821" s="69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x14ac:dyDescent="0.3">
      <c r="A822" s="1"/>
      <c r="B822" s="14"/>
      <c r="C822" s="14"/>
      <c r="D822" s="69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x14ac:dyDescent="0.3">
      <c r="A823" s="1"/>
      <c r="B823" s="14"/>
      <c r="C823" s="14"/>
      <c r="D823" s="69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x14ac:dyDescent="0.3">
      <c r="A824" s="1"/>
      <c r="B824" s="14"/>
      <c r="C824" s="14"/>
      <c r="D824" s="69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x14ac:dyDescent="0.3">
      <c r="A825" s="1"/>
      <c r="B825" s="14"/>
      <c r="C825" s="14"/>
      <c r="D825" s="69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x14ac:dyDescent="0.3">
      <c r="A826" s="1"/>
      <c r="B826" s="14"/>
      <c r="C826" s="14"/>
      <c r="D826" s="69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x14ac:dyDescent="0.3">
      <c r="A827" s="1"/>
      <c r="B827" s="14"/>
      <c r="C827" s="14"/>
      <c r="D827" s="69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x14ac:dyDescent="0.3">
      <c r="A828" s="1"/>
      <c r="B828" s="14"/>
      <c r="C828" s="14"/>
      <c r="D828" s="69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x14ac:dyDescent="0.3">
      <c r="A829" s="1"/>
      <c r="B829" s="14"/>
      <c r="C829" s="14"/>
      <c r="D829" s="69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x14ac:dyDescent="0.3">
      <c r="A830" s="1"/>
      <c r="B830" s="14"/>
      <c r="C830" s="14"/>
      <c r="D830" s="69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x14ac:dyDescent="0.3">
      <c r="A831" s="1"/>
      <c r="B831" s="14"/>
      <c r="C831" s="14"/>
      <c r="D831" s="69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x14ac:dyDescent="0.3">
      <c r="A832" s="1"/>
      <c r="B832" s="14"/>
      <c r="C832" s="14"/>
      <c r="D832" s="69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x14ac:dyDescent="0.3">
      <c r="A833" s="1"/>
      <c r="B833" s="14"/>
      <c r="C833" s="14"/>
      <c r="D833" s="69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x14ac:dyDescent="0.3">
      <c r="A834" s="1"/>
      <c r="B834" s="14"/>
      <c r="C834" s="14"/>
      <c r="D834" s="69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x14ac:dyDescent="0.3">
      <c r="A835" s="1"/>
      <c r="B835" s="14"/>
      <c r="C835" s="14"/>
      <c r="D835" s="69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x14ac:dyDescent="0.3">
      <c r="A836" s="1"/>
      <c r="B836" s="14"/>
      <c r="C836" s="14"/>
      <c r="D836" s="69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x14ac:dyDescent="0.3">
      <c r="A837" s="1"/>
      <c r="B837" s="14"/>
      <c r="C837" s="14"/>
      <c r="D837" s="69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x14ac:dyDescent="0.3">
      <c r="A838" s="1"/>
      <c r="B838" s="14"/>
      <c r="C838" s="14"/>
      <c r="D838" s="69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x14ac:dyDescent="0.3">
      <c r="A839" s="1"/>
      <c r="B839" s="14"/>
      <c r="C839" s="14"/>
      <c r="D839" s="69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x14ac:dyDescent="0.3">
      <c r="A840" s="1"/>
      <c r="B840" s="14"/>
      <c r="C840" s="14"/>
      <c r="D840" s="69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x14ac:dyDescent="0.3">
      <c r="A841" s="1"/>
      <c r="B841" s="14"/>
      <c r="C841" s="14"/>
      <c r="D841" s="69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x14ac:dyDescent="0.3">
      <c r="A842" s="1"/>
      <c r="B842" s="14"/>
      <c r="C842" s="14"/>
      <c r="D842" s="69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x14ac:dyDescent="0.3">
      <c r="A843" s="1"/>
      <c r="B843" s="14"/>
      <c r="C843" s="14"/>
      <c r="D843" s="69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x14ac:dyDescent="0.3">
      <c r="A844" s="1"/>
      <c r="B844" s="14"/>
      <c r="C844" s="14"/>
      <c r="D844" s="69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x14ac:dyDescent="0.3">
      <c r="A845" s="1"/>
      <c r="B845" s="14"/>
      <c r="C845" s="14"/>
      <c r="D845" s="69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x14ac:dyDescent="0.3">
      <c r="A846" s="1"/>
      <c r="B846" s="14"/>
      <c r="C846" s="14"/>
      <c r="D846" s="69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x14ac:dyDescent="0.3">
      <c r="A847" s="1"/>
      <c r="B847" s="14"/>
      <c r="C847" s="14"/>
      <c r="D847" s="69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x14ac:dyDescent="0.3">
      <c r="A848" s="1"/>
      <c r="B848" s="14"/>
      <c r="C848" s="14"/>
      <c r="D848" s="69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x14ac:dyDescent="0.3">
      <c r="A849" s="1"/>
      <c r="B849" s="14"/>
      <c r="C849" s="14"/>
      <c r="D849" s="69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x14ac:dyDescent="0.3">
      <c r="A850" s="1"/>
      <c r="B850" s="14"/>
      <c r="C850" s="14"/>
      <c r="D850" s="69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x14ac:dyDescent="0.3">
      <c r="A851" s="1"/>
      <c r="B851" s="14"/>
      <c r="C851" s="14"/>
      <c r="D851" s="69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x14ac:dyDescent="0.3">
      <c r="A852" s="1"/>
      <c r="B852" s="14"/>
      <c r="C852" s="14"/>
      <c r="D852" s="69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x14ac:dyDescent="0.3">
      <c r="A853" s="1"/>
      <c r="B853" s="14"/>
      <c r="C853" s="14"/>
      <c r="D853" s="69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x14ac:dyDescent="0.3">
      <c r="A854" s="1"/>
      <c r="B854" s="14"/>
      <c r="C854" s="14"/>
      <c r="D854" s="69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x14ac:dyDescent="0.3">
      <c r="A855" s="1"/>
      <c r="B855" s="14"/>
      <c r="C855" s="14"/>
      <c r="D855" s="69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x14ac:dyDescent="0.3">
      <c r="A856" s="1"/>
      <c r="B856" s="14"/>
      <c r="C856" s="14"/>
      <c r="D856" s="69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x14ac:dyDescent="0.3">
      <c r="A857" s="1"/>
      <c r="B857" s="14"/>
      <c r="C857" s="14"/>
      <c r="D857" s="69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x14ac:dyDescent="0.3">
      <c r="A858" s="1"/>
      <c r="B858" s="14"/>
      <c r="C858" s="14"/>
      <c r="D858" s="69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x14ac:dyDescent="0.3">
      <c r="A859" s="1"/>
      <c r="B859" s="14"/>
      <c r="C859" s="14"/>
      <c r="D859" s="69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x14ac:dyDescent="0.3">
      <c r="A860" s="1"/>
      <c r="B860" s="14"/>
      <c r="C860" s="14"/>
      <c r="D860" s="69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x14ac:dyDescent="0.3">
      <c r="A861" s="1"/>
      <c r="B861" s="14"/>
      <c r="C861" s="14"/>
      <c r="D861" s="69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x14ac:dyDescent="0.3">
      <c r="A862" s="1"/>
      <c r="B862" s="14"/>
      <c r="C862" s="14"/>
      <c r="D862" s="69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x14ac:dyDescent="0.3">
      <c r="A863" s="1"/>
      <c r="B863" s="14"/>
      <c r="C863" s="14"/>
      <c r="D863" s="69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x14ac:dyDescent="0.3">
      <c r="A864" s="1"/>
      <c r="B864" s="14"/>
      <c r="C864" s="14"/>
      <c r="D864" s="69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x14ac:dyDescent="0.3">
      <c r="A865" s="1"/>
      <c r="B865" s="14"/>
      <c r="C865" s="14"/>
      <c r="D865" s="69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x14ac:dyDescent="0.3">
      <c r="A866" s="1"/>
      <c r="B866" s="14"/>
      <c r="C866" s="14"/>
      <c r="D866" s="69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x14ac:dyDescent="0.3">
      <c r="A867" s="1"/>
      <c r="B867" s="14"/>
      <c r="C867" s="14"/>
      <c r="D867" s="69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x14ac:dyDescent="0.3">
      <c r="A868" s="1"/>
      <c r="B868" s="14"/>
      <c r="C868" s="14"/>
      <c r="D868" s="69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x14ac:dyDescent="0.3">
      <c r="A869" s="1"/>
      <c r="B869" s="14"/>
      <c r="C869" s="14"/>
      <c r="D869" s="69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x14ac:dyDescent="0.3">
      <c r="A870" s="1"/>
      <c r="B870" s="14"/>
      <c r="C870" s="14"/>
      <c r="D870" s="69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x14ac:dyDescent="0.3">
      <c r="A871" s="1"/>
      <c r="B871" s="14"/>
      <c r="C871" s="14"/>
      <c r="D871" s="69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x14ac:dyDescent="0.3">
      <c r="A872" s="1"/>
      <c r="B872" s="14"/>
      <c r="C872" s="14"/>
      <c r="D872" s="69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x14ac:dyDescent="0.3">
      <c r="A873" s="1"/>
      <c r="B873" s="14"/>
      <c r="C873" s="14"/>
      <c r="D873" s="69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x14ac:dyDescent="0.3">
      <c r="A874" s="1"/>
      <c r="B874" s="14"/>
      <c r="C874" s="14"/>
      <c r="D874" s="69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x14ac:dyDescent="0.3">
      <c r="A875" s="1"/>
      <c r="B875" s="14"/>
      <c r="C875" s="14"/>
      <c r="D875" s="69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x14ac:dyDescent="0.3">
      <c r="A876" s="1"/>
      <c r="B876" s="14"/>
      <c r="C876" s="14"/>
      <c r="D876" s="69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x14ac:dyDescent="0.3">
      <c r="A877" s="1"/>
      <c r="B877" s="14"/>
      <c r="C877" s="14"/>
      <c r="D877" s="69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x14ac:dyDescent="0.3">
      <c r="A878" s="1"/>
      <c r="B878" s="14"/>
      <c r="C878" s="14"/>
      <c r="D878" s="69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x14ac:dyDescent="0.3">
      <c r="A879" s="1"/>
      <c r="B879" s="14"/>
      <c r="C879" s="14"/>
      <c r="D879" s="69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x14ac:dyDescent="0.3">
      <c r="A880" s="1"/>
      <c r="B880" s="14"/>
      <c r="C880" s="14"/>
      <c r="D880" s="69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x14ac:dyDescent="0.3">
      <c r="A881" s="1"/>
      <c r="B881" s="14"/>
      <c r="C881" s="14"/>
      <c r="D881" s="69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x14ac:dyDescent="0.3">
      <c r="A882" s="1"/>
      <c r="B882" s="14"/>
      <c r="C882" s="14"/>
      <c r="D882" s="69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x14ac:dyDescent="0.3">
      <c r="A883" s="1"/>
      <c r="B883" s="14"/>
      <c r="C883" s="14"/>
      <c r="D883" s="69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x14ac:dyDescent="0.3">
      <c r="A884" s="1"/>
      <c r="B884" s="14"/>
      <c r="C884" s="14"/>
      <c r="D884" s="69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x14ac:dyDescent="0.3">
      <c r="A885" s="1"/>
      <c r="B885" s="14"/>
      <c r="C885" s="14"/>
      <c r="D885" s="69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x14ac:dyDescent="0.3">
      <c r="A886" s="1"/>
      <c r="B886" s="14"/>
      <c r="C886" s="14"/>
      <c r="D886" s="69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x14ac:dyDescent="0.3">
      <c r="A887" s="1"/>
      <c r="B887" s="14"/>
      <c r="C887" s="14"/>
      <c r="D887" s="69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x14ac:dyDescent="0.3">
      <c r="A888" s="1"/>
      <c r="B888" s="14"/>
      <c r="C888" s="14"/>
      <c r="D888" s="69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x14ac:dyDescent="0.3">
      <c r="A889" s="1"/>
      <c r="B889" s="14"/>
      <c r="C889" s="14"/>
      <c r="D889" s="69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x14ac:dyDescent="0.3">
      <c r="A890" s="1"/>
      <c r="B890" s="14"/>
      <c r="C890" s="14"/>
      <c r="D890" s="69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x14ac:dyDescent="0.3">
      <c r="A891" s="1"/>
      <c r="B891" s="14"/>
      <c r="C891" s="14"/>
      <c r="D891" s="69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x14ac:dyDescent="0.3">
      <c r="A892" s="1"/>
      <c r="B892" s="14"/>
      <c r="C892" s="14"/>
      <c r="D892" s="69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x14ac:dyDescent="0.3">
      <c r="A893" s="1"/>
      <c r="B893" s="14"/>
      <c r="C893" s="14"/>
      <c r="D893" s="69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x14ac:dyDescent="0.3">
      <c r="A894" s="1"/>
      <c r="B894" s="14"/>
      <c r="C894" s="14"/>
      <c r="D894" s="69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x14ac:dyDescent="0.3">
      <c r="A895" s="1"/>
      <c r="B895" s="14"/>
      <c r="C895" s="14"/>
      <c r="D895" s="69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x14ac:dyDescent="0.3">
      <c r="A896" s="1"/>
      <c r="B896" s="14"/>
      <c r="C896" s="14"/>
      <c r="D896" s="69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x14ac:dyDescent="0.3">
      <c r="A897" s="1"/>
      <c r="B897" s="14"/>
      <c r="C897" s="14"/>
      <c r="D897" s="69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x14ac:dyDescent="0.3">
      <c r="A898" s="1"/>
      <c r="B898" s="14"/>
      <c r="C898" s="14"/>
      <c r="D898" s="69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x14ac:dyDescent="0.3">
      <c r="A899" s="1"/>
      <c r="B899" s="14"/>
      <c r="C899" s="14"/>
      <c r="D899" s="69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x14ac:dyDescent="0.3">
      <c r="A900" s="1"/>
      <c r="B900" s="14"/>
      <c r="C900" s="14"/>
      <c r="D900" s="69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x14ac:dyDescent="0.3">
      <c r="A901" s="1"/>
      <c r="B901" s="14"/>
      <c r="C901" s="14"/>
      <c r="D901" s="69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x14ac:dyDescent="0.3">
      <c r="A902" s="1"/>
      <c r="B902" s="14"/>
      <c r="C902" s="14"/>
      <c r="D902" s="69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x14ac:dyDescent="0.3">
      <c r="A903" s="1"/>
      <c r="B903" s="14"/>
      <c r="C903" s="14"/>
      <c r="D903" s="69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x14ac:dyDescent="0.3">
      <c r="A904" s="1"/>
      <c r="B904" s="14"/>
      <c r="C904" s="14"/>
      <c r="D904" s="69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x14ac:dyDescent="0.3">
      <c r="A905" s="1"/>
      <c r="B905" s="14"/>
      <c r="C905" s="14"/>
      <c r="D905" s="69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x14ac:dyDescent="0.3">
      <c r="A906" s="1"/>
      <c r="B906" s="14"/>
      <c r="C906" s="14"/>
      <c r="D906" s="69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x14ac:dyDescent="0.3">
      <c r="A907" s="1"/>
      <c r="B907" s="14"/>
      <c r="C907" s="14"/>
      <c r="D907" s="69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x14ac:dyDescent="0.3">
      <c r="A908" s="1"/>
      <c r="B908" s="14"/>
      <c r="C908" s="14"/>
      <c r="D908" s="69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x14ac:dyDescent="0.3">
      <c r="A909" s="1"/>
      <c r="B909" s="14"/>
      <c r="C909" s="14"/>
      <c r="D909" s="69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x14ac:dyDescent="0.3">
      <c r="A910" s="1"/>
      <c r="B910" s="14"/>
      <c r="C910" s="14"/>
      <c r="D910" s="69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x14ac:dyDescent="0.3">
      <c r="A911" s="1"/>
      <c r="B911" s="14"/>
      <c r="C911" s="14"/>
      <c r="D911" s="69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x14ac:dyDescent="0.3">
      <c r="A912" s="1"/>
      <c r="B912" s="14"/>
      <c r="C912" s="14"/>
      <c r="D912" s="69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x14ac:dyDescent="0.3">
      <c r="A913" s="1"/>
      <c r="B913" s="14"/>
      <c r="C913" s="14"/>
      <c r="D913" s="69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x14ac:dyDescent="0.3">
      <c r="A914" s="1"/>
      <c r="B914" s="14"/>
      <c r="C914" s="14"/>
      <c r="D914" s="69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x14ac:dyDescent="0.3">
      <c r="A915" s="1"/>
      <c r="B915" s="14"/>
      <c r="C915" s="14"/>
      <c r="D915" s="69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x14ac:dyDescent="0.3">
      <c r="A916" s="1"/>
      <c r="B916" s="14"/>
      <c r="C916" s="14"/>
      <c r="D916" s="69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x14ac:dyDescent="0.3">
      <c r="A917" s="1"/>
      <c r="B917" s="14"/>
      <c r="C917" s="14"/>
      <c r="D917" s="69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x14ac:dyDescent="0.3">
      <c r="A918" s="1"/>
      <c r="B918" s="14"/>
      <c r="C918" s="14"/>
      <c r="D918" s="69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x14ac:dyDescent="0.3">
      <c r="A919" s="1"/>
      <c r="B919" s="14"/>
      <c r="C919" s="14"/>
      <c r="D919" s="69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x14ac:dyDescent="0.3">
      <c r="A920" s="1"/>
      <c r="B920" s="14"/>
      <c r="C920" s="14"/>
      <c r="D920" s="69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x14ac:dyDescent="0.3">
      <c r="A921" s="1"/>
      <c r="B921" s="14"/>
      <c r="C921" s="14"/>
      <c r="D921" s="69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x14ac:dyDescent="0.3">
      <c r="A922" s="1"/>
      <c r="B922" s="14"/>
      <c r="C922" s="14"/>
      <c r="D922" s="69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x14ac:dyDescent="0.3">
      <c r="A923" s="1"/>
      <c r="B923" s="14"/>
      <c r="C923" s="14"/>
      <c r="D923" s="69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x14ac:dyDescent="0.3">
      <c r="A924" s="1"/>
      <c r="B924" s="14"/>
      <c r="C924" s="14"/>
      <c r="D924" s="69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x14ac:dyDescent="0.3">
      <c r="A925" s="1"/>
      <c r="B925" s="14"/>
      <c r="C925" s="14"/>
      <c r="D925" s="69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x14ac:dyDescent="0.3">
      <c r="A926" s="1"/>
      <c r="B926" s="14"/>
      <c r="C926" s="14"/>
      <c r="D926" s="69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x14ac:dyDescent="0.3">
      <c r="A927" s="1"/>
      <c r="B927" s="14"/>
      <c r="C927" s="14"/>
      <c r="D927" s="69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x14ac:dyDescent="0.3">
      <c r="A928" s="1"/>
      <c r="B928" s="14"/>
      <c r="C928" s="14"/>
      <c r="D928" s="69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x14ac:dyDescent="0.3">
      <c r="A929" s="1"/>
      <c r="B929" s="14"/>
      <c r="C929" s="14"/>
      <c r="D929" s="69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x14ac:dyDescent="0.3">
      <c r="A930" s="1"/>
      <c r="B930" s="14"/>
      <c r="C930" s="14"/>
      <c r="D930" s="69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x14ac:dyDescent="0.3">
      <c r="A931" s="1"/>
      <c r="B931" s="14"/>
      <c r="C931" s="14"/>
      <c r="D931" s="69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x14ac:dyDescent="0.3">
      <c r="A932" s="1"/>
      <c r="B932" s="14"/>
      <c r="C932" s="14"/>
      <c r="D932" s="69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x14ac:dyDescent="0.3">
      <c r="A933" s="1"/>
      <c r="B933" s="14"/>
      <c r="C933" s="14"/>
      <c r="D933" s="69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x14ac:dyDescent="0.3">
      <c r="A934" s="1"/>
      <c r="B934" s="14"/>
      <c r="C934" s="14"/>
      <c r="D934" s="69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x14ac:dyDescent="0.3">
      <c r="A935" s="1"/>
      <c r="B935" s="14"/>
      <c r="C935" s="14"/>
      <c r="D935" s="69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x14ac:dyDescent="0.3">
      <c r="A936" s="1"/>
      <c r="B936" s="14"/>
      <c r="C936" s="14"/>
      <c r="D936" s="69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x14ac:dyDescent="0.3">
      <c r="A937" s="1"/>
      <c r="B937" s="14"/>
      <c r="C937" s="14"/>
      <c r="D937" s="69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x14ac:dyDescent="0.3">
      <c r="A938" s="1"/>
      <c r="B938" s="14"/>
      <c r="C938" s="14"/>
      <c r="D938" s="69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x14ac:dyDescent="0.3">
      <c r="A939" s="1"/>
      <c r="B939" s="14"/>
      <c r="C939" s="14"/>
      <c r="D939" s="69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x14ac:dyDescent="0.3">
      <c r="A940" s="1"/>
      <c r="B940" s="14"/>
      <c r="C940" s="14"/>
      <c r="D940" s="69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x14ac:dyDescent="0.3">
      <c r="A941" s="1"/>
      <c r="B941" s="14"/>
      <c r="C941" s="14"/>
      <c r="D941" s="69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x14ac:dyDescent="0.3">
      <c r="A942" s="1"/>
      <c r="B942" s="14"/>
      <c r="C942" s="14"/>
      <c r="D942" s="69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x14ac:dyDescent="0.3">
      <c r="A943" s="1"/>
      <c r="B943" s="14"/>
      <c r="C943" s="14"/>
      <c r="D943" s="69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x14ac:dyDescent="0.3">
      <c r="A944" s="1"/>
      <c r="B944" s="14"/>
      <c r="C944" s="14"/>
      <c r="D944" s="69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x14ac:dyDescent="0.3">
      <c r="A945" s="1"/>
      <c r="B945" s="14"/>
      <c r="C945" s="14"/>
      <c r="D945" s="69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x14ac:dyDescent="0.3">
      <c r="A946" s="1"/>
      <c r="B946" s="14"/>
      <c r="C946" s="14"/>
      <c r="D946" s="69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x14ac:dyDescent="0.3">
      <c r="A947" s="1"/>
      <c r="B947" s="14"/>
      <c r="C947" s="14"/>
      <c r="D947" s="69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x14ac:dyDescent="0.3">
      <c r="A948" s="1"/>
      <c r="B948" s="14"/>
      <c r="C948" s="14"/>
      <c r="D948" s="69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x14ac:dyDescent="0.3">
      <c r="A949" s="1"/>
      <c r="B949" s="14"/>
      <c r="C949" s="14"/>
      <c r="D949" s="69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x14ac:dyDescent="0.3">
      <c r="A950" s="1"/>
      <c r="B950" s="14"/>
      <c r="C950" s="14"/>
      <c r="D950" s="69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x14ac:dyDescent="0.3">
      <c r="A951" s="1"/>
      <c r="B951" s="14"/>
      <c r="C951" s="14"/>
      <c r="D951" s="69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x14ac:dyDescent="0.3">
      <c r="A952" s="1"/>
      <c r="B952" s="14"/>
      <c r="C952" s="14"/>
      <c r="D952" s="69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x14ac:dyDescent="0.3">
      <c r="A953" s="1"/>
      <c r="B953" s="14"/>
      <c r="C953" s="14"/>
      <c r="D953" s="69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x14ac:dyDescent="0.3">
      <c r="A954" s="1"/>
      <c r="B954" s="14"/>
      <c r="C954" s="14"/>
      <c r="D954" s="69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x14ac:dyDescent="0.3">
      <c r="A955" s="1"/>
      <c r="B955" s="14"/>
      <c r="C955" s="14"/>
      <c r="D955" s="69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x14ac:dyDescent="0.3">
      <c r="A956" s="1"/>
      <c r="B956" s="14"/>
      <c r="C956" s="14"/>
      <c r="D956" s="69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x14ac:dyDescent="0.3">
      <c r="A957" s="1"/>
      <c r="B957" s="14"/>
      <c r="C957" s="14"/>
      <c r="D957" s="69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x14ac:dyDescent="0.3">
      <c r="A958" s="1"/>
      <c r="B958" s="14"/>
      <c r="C958" s="14"/>
      <c r="D958" s="69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x14ac:dyDescent="0.3">
      <c r="A959" s="1"/>
      <c r="B959" s="14"/>
      <c r="C959" s="14"/>
      <c r="D959" s="69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x14ac:dyDescent="0.3">
      <c r="A960" s="1"/>
      <c r="B960" s="14"/>
      <c r="C960" s="14"/>
      <c r="D960" s="69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x14ac:dyDescent="0.3">
      <c r="A961" s="1"/>
      <c r="B961" s="14"/>
      <c r="C961" s="14"/>
      <c r="D961" s="69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x14ac:dyDescent="0.3">
      <c r="A962" s="1"/>
      <c r="B962" s="14"/>
      <c r="C962" s="14"/>
      <c r="D962" s="69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x14ac:dyDescent="0.3">
      <c r="A963" s="1"/>
      <c r="B963" s="14"/>
      <c r="C963" s="14"/>
      <c r="D963" s="69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x14ac:dyDescent="0.3">
      <c r="A964" s="1"/>
      <c r="B964" s="14"/>
      <c r="C964" s="14"/>
      <c r="D964" s="69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x14ac:dyDescent="0.3">
      <c r="A965" s="1"/>
      <c r="B965" s="14"/>
      <c r="C965" s="14"/>
      <c r="D965" s="69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x14ac:dyDescent="0.3">
      <c r="A966" s="1"/>
      <c r="B966" s="14"/>
      <c r="C966" s="14"/>
      <c r="D966" s="69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x14ac:dyDescent="0.3">
      <c r="A967" s="1"/>
      <c r="B967" s="14"/>
      <c r="C967" s="14"/>
      <c r="D967" s="69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x14ac:dyDescent="0.3">
      <c r="A968" s="1"/>
      <c r="B968" s="14"/>
      <c r="C968" s="14"/>
      <c r="D968" s="69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x14ac:dyDescent="0.3">
      <c r="A969" s="1"/>
      <c r="B969" s="14"/>
      <c r="C969" s="14"/>
      <c r="D969" s="69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x14ac:dyDescent="0.3">
      <c r="A970" s="1"/>
      <c r="B970" s="14"/>
      <c r="C970" s="14"/>
      <c r="D970" s="69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x14ac:dyDescent="0.3">
      <c r="A971" s="1"/>
      <c r="B971" s="14"/>
      <c r="C971" s="14"/>
      <c r="D971" s="69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x14ac:dyDescent="0.3">
      <c r="A972" s="1"/>
      <c r="B972" s="14"/>
      <c r="C972" s="14"/>
      <c r="D972" s="69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x14ac:dyDescent="0.3">
      <c r="A973" s="1"/>
      <c r="B973" s="14"/>
      <c r="C973" s="14"/>
      <c r="D973" s="69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x14ac:dyDescent="0.3">
      <c r="A974" s="1"/>
      <c r="B974" s="14"/>
      <c r="C974" s="14"/>
      <c r="D974" s="69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x14ac:dyDescent="0.3">
      <c r="A975" s="1"/>
      <c r="B975" s="14"/>
      <c r="C975" s="14"/>
      <c r="D975" s="69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x14ac:dyDescent="0.3">
      <c r="A976" s="1"/>
      <c r="B976" s="14"/>
      <c r="C976" s="14"/>
      <c r="D976" s="69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x14ac:dyDescent="0.3">
      <c r="A977" s="1"/>
      <c r="B977" s="14"/>
      <c r="C977" s="14"/>
      <c r="D977" s="69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x14ac:dyDescent="0.3">
      <c r="A978" s="1"/>
      <c r="B978" s="14"/>
      <c r="C978" s="14"/>
      <c r="D978" s="69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x14ac:dyDescent="0.3">
      <c r="A979" s="1"/>
      <c r="B979" s="14"/>
      <c r="C979" s="14"/>
      <c r="D979" s="69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x14ac:dyDescent="0.3">
      <c r="A980" s="1"/>
      <c r="B980" s="14"/>
      <c r="C980" s="14"/>
      <c r="D980" s="69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x14ac:dyDescent="0.3">
      <c r="A981" s="1"/>
      <c r="B981" s="14"/>
      <c r="C981" s="14"/>
      <c r="D981" s="69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x14ac:dyDescent="0.3">
      <c r="A982" s="1"/>
      <c r="B982" s="14"/>
      <c r="C982" s="14"/>
      <c r="D982" s="69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x14ac:dyDescent="0.3">
      <c r="A983" s="1"/>
      <c r="B983" s="14"/>
      <c r="C983" s="14"/>
      <c r="D983" s="69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x14ac:dyDescent="0.3">
      <c r="A984" s="1"/>
      <c r="B984" s="14"/>
      <c r="C984" s="14"/>
      <c r="D984" s="69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x14ac:dyDescent="0.3">
      <c r="A985" s="1"/>
      <c r="B985" s="14"/>
      <c r="C985" s="14"/>
      <c r="D985" s="69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x14ac:dyDescent="0.3">
      <c r="A986" s="1"/>
      <c r="B986" s="14"/>
      <c r="C986" s="14"/>
      <c r="D986" s="69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x14ac:dyDescent="0.3">
      <c r="A987" s="1"/>
      <c r="B987" s="14"/>
      <c r="C987" s="14"/>
      <c r="D987" s="69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x14ac:dyDescent="0.3">
      <c r="A988" s="1"/>
      <c r="B988" s="14"/>
      <c r="C988" s="14"/>
      <c r="D988" s="69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x14ac:dyDescent="0.3">
      <c r="A989" s="1"/>
      <c r="B989" s="14"/>
      <c r="C989" s="14"/>
      <c r="D989" s="69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x14ac:dyDescent="0.3">
      <c r="A990" s="1"/>
      <c r="B990" s="14"/>
      <c r="C990" s="14"/>
      <c r="D990" s="69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x14ac:dyDescent="0.3">
      <c r="A991" s="1"/>
      <c r="B991" s="14"/>
      <c r="C991" s="14"/>
      <c r="D991" s="69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x14ac:dyDescent="0.3">
      <c r="A992" s="1"/>
      <c r="B992" s="14"/>
      <c r="C992" s="14"/>
      <c r="D992" s="69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x14ac:dyDescent="0.3">
      <c r="A993" s="1"/>
      <c r="B993" s="14"/>
      <c r="C993" s="14"/>
      <c r="D993" s="69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x14ac:dyDescent="0.3">
      <c r="A994" s="1"/>
      <c r="B994" s="14"/>
      <c r="C994" s="14"/>
      <c r="D994" s="69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x14ac:dyDescent="0.3">
      <c r="A995" s="1"/>
      <c r="B995" s="14"/>
      <c r="C995" s="14"/>
      <c r="D995" s="69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x14ac:dyDescent="0.3">
      <c r="A996" s="1"/>
      <c r="B996" s="14"/>
      <c r="C996" s="14"/>
      <c r="D996" s="69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x14ac:dyDescent="0.3">
      <c r="A997" s="1"/>
      <c r="B997" s="14"/>
      <c r="C997" s="14"/>
      <c r="D997" s="69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x14ac:dyDescent="0.3">
      <c r="A998" s="1"/>
      <c r="B998" s="14"/>
      <c r="C998" s="14"/>
      <c r="D998" s="69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x14ac:dyDescent="0.3">
      <c r="A999" s="1"/>
      <c r="B999" s="14"/>
      <c r="C999" s="14"/>
      <c r="D999" s="69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x14ac:dyDescent="0.3">
      <c r="A1000" s="1"/>
      <c r="B1000" s="14"/>
      <c r="C1000" s="14"/>
      <c r="D1000" s="69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</sheetData>
  <pageMargins left="0.7" right="0.7" top="0.75" bottom="0.75" header="0" footer="0"/>
  <pageSetup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P. Input</vt:lpstr>
      <vt:lpstr>I. Profit_Loss</vt:lpstr>
      <vt:lpstr>I. Balance_Sheet</vt:lpstr>
      <vt:lpstr>I. Cashflow</vt:lpstr>
      <vt:lpstr>O. Report</vt:lpstr>
      <vt:lpstr>CompanyName</vt:lpstr>
      <vt:lpstr>Currency</vt:lpstr>
      <vt:lpstr>EX_Yr1</vt:lpstr>
      <vt:lpstr>FinancialYearEnd</vt:lpstr>
      <vt:lpstr>FX_Yr1</vt:lpstr>
      <vt:lpstr>FX_Yr2</vt:lpstr>
      <vt:lpstr>Input_Multiplier</vt:lpstr>
      <vt:lpstr>NumPriorAnnualReportsRecorded</vt:lpstr>
      <vt:lpstr>PreviousFinancialYearEnd</vt:lpstr>
      <vt:lpstr>Reporting_Multiplier</vt:lpstr>
      <vt:lpstr>Units_Multiplier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Varunesh RV</cp:lastModifiedBy>
  <dcterms:created xsi:type="dcterms:W3CDTF">2019-01-20T15:51:15Z</dcterms:created>
  <dcterms:modified xsi:type="dcterms:W3CDTF">2026-08-18T05:32:05Z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0x010100CAD7567327DC074B99EBE63FA907AEAA</vt:lpwstr>
  </property>
  <property fmtid="{D5CDD505-2E9C-101B-9397-08002B2CF9AE}" pid="3" name="AuthorIds_UIVersion_2560">
    <vt:lpwstr>17</vt:lpwstr>
  </property>
</Properties>
</file>